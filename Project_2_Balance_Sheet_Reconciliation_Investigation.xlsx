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dra Stasaityte\Downloads\"/>
    </mc:Choice>
  </mc:AlternateContent>
  <xr:revisionPtr revIDLastSave="0" documentId="8_{C4B19C7B-8FB6-45D7-9180-CECD067994CD}" xr6:coauthVersionLast="47" xr6:coauthVersionMax="47" xr10:uidLastSave="{00000000-0000-0000-0000-000000000000}"/>
  <bookViews>
    <workbookView xWindow="-120" yWindow="-120" windowWidth="29040" windowHeight="15720" firstSheet="5" activeTab="11" xr2:uid="{00000000-000D-0000-FFFF-FFFF00000000}"/>
  </bookViews>
  <sheets>
    <sheet name="README" sheetId="1" r:id="rId1"/>
    <sheet name="GL_Balances" sheetId="2" r:id="rId2"/>
    <sheet name="Bank_Recon" sheetId="3" r:id="rId3"/>
    <sheet name="AR_Recon" sheetId="4" r:id="rId4"/>
    <sheet name="AP_Recon" sheetId="5" r:id="rId5"/>
    <sheet name="Prepayments_Recon" sheetId="6" r:id="rId6"/>
    <sheet name="Fixed_Assets_Recon" sheetId="7" r:id="rId7"/>
    <sheet name="Accruals_Recon" sheetId="8" r:id="rId8"/>
    <sheet name="Investigation_Log" sheetId="9" r:id="rId9"/>
    <sheet name="Correcting_JEs" sheetId="10" r:id="rId10"/>
    <sheet name="Reconciliation_Summary" sheetId="11" r:id="rId11"/>
    <sheet name="Sign_Off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8" l="1"/>
  <c r="E7" i="8"/>
  <c r="E6" i="8"/>
  <c r="E5" i="8"/>
  <c r="E4" i="8"/>
  <c r="G4" i="7"/>
  <c r="H4" i="7" s="1"/>
  <c r="G4" i="6"/>
  <c r="E8" i="5"/>
  <c r="E7" i="5"/>
  <c r="E6" i="5"/>
  <c r="E5" i="5"/>
  <c r="E4" i="5"/>
  <c r="E9" i="4"/>
  <c r="E8" i="4"/>
  <c r="E7" i="4"/>
  <c r="E6" i="4"/>
  <c r="E5" i="4"/>
  <c r="E4" i="4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E4" i="2"/>
  <c r="D4" i="2"/>
</calcChain>
</file>

<file path=xl/sharedStrings.xml><?xml version="1.0" encoding="utf-8"?>
<sst xmlns="http://schemas.openxmlformats.org/spreadsheetml/2006/main" count="347" uniqueCount="206">
  <si>
    <t>Project 2 — Balance Sheet Reconciliation &amp; Investigation</t>
  </si>
  <si>
    <t>Simulated September 2026 close exercise with deliberately planted exceptions.</t>
  </si>
  <si>
    <t>Objective</t>
  </si>
  <si>
    <t>Reconcile key balance-sheet accounts to independent supporting records, investigate breaks, post corrections and obtain sign-off.</t>
  </si>
  <si>
    <t>Entity</t>
  </si>
  <si>
    <t>AVERRA Holdings Ltd (simulated)</t>
  </si>
  <si>
    <t>Period</t>
  </si>
  <si>
    <t>30 September 2026</t>
  </si>
  <si>
    <t>Currency</t>
  </si>
  <si>
    <t>GBP</t>
  </si>
  <si>
    <t>Skills demonstrated</t>
  </si>
  <si>
    <t>Balance-sheet substantiation, root-cause analysis, correcting journals, controls, audit evidence and reviewer sign-off.</t>
  </si>
  <si>
    <t>Interview story</t>
  </si>
  <si>
    <t>The exercise contains six exceptions. The candidate must identify, explain, correct and prevent each one.</t>
  </si>
  <si>
    <t>Important</t>
  </si>
  <si>
    <t>All data is simulated and created for portfolio/interview practice.</t>
  </si>
  <si>
    <t>Recommended workflow</t>
  </si>
  <si>
    <t>1. Compare GL balance to independent support.</t>
  </si>
  <si>
    <t>2. Calculate the reconciliation difference.</t>
  </si>
  <si>
    <t>3. Identify the likely root cause.</t>
  </si>
  <si>
    <t>4. Record the issue in the Investigation Log.</t>
  </si>
  <si>
    <t>5. Prepare a correcting journal where required.</t>
  </si>
  <si>
    <t>6. Reconcile the corrected balance.</t>
  </si>
  <si>
    <t>7. Document evidence and control improvement.</t>
  </si>
  <si>
    <t>8. Obtain reviewer sign-off.</t>
  </si>
  <si>
    <t>GL Balances</t>
  </si>
  <si>
    <t>Closing ledger balances before reconciliation corrections</t>
  </si>
  <si>
    <t>Account</t>
  </si>
  <si>
    <t>GL Balance</t>
  </si>
  <si>
    <t>Independent Support</t>
  </si>
  <si>
    <t>Difference</t>
  </si>
  <si>
    <t>Status</t>
  </si>
  <si>
    <t>Bank</t>
  </si>
  <si>
    <t>Trade Receivables</t>
  </si>
  <si>
    <t>Trade Payables</t>
  </si>
  <si>
    <t>Prepayments</t>
  </si>
  <si>
    <t>Fixed Assets</t>
  </si>
  <si>
    <t>Accumulated Depreciation</t>
  </si>
  <si>
    <t>Accrued Expenses</t>
  </si>
  <si>
    <t>Bank Reconciliation</t>
  </si>
  <si>
    <t>Bank statement vs GL</t>
  </si>
  <si>
    <t>Item</t>
  </si>
  <si>
    <t>Amount</t>
  </si>
  <si>
    <t>Treatment</t>
  </si>
  <si>
    <t>Explanation</t>
  </si>
  <si>
    <t>Bank statement closing balance</t>
  </si>
  <si>
    <t>Statement</t>
  </si>
  <si>
    <t>Independent external evidence</t>
  </si>
  <si>
    <t>Unpresented supplier payment</t>
  </si>
  <si>
    <t>Add to bank statement / timing item</t>
  </si>
  <si>
    <t>Payment recorded in GL but not yet cleared</t>
  </si>
  <si>
    <t>Outstanding customer receipt</t>
  </si>
  <si>
    <t>N/A</t>
  </si>
  <si>
    <t>No further timing items</t>
  </si>
  <si>
    <t>Expected adjusted bank balance</t>
  </si>
  <si>
    <t>Reconciled</t>
  </si>
  <si>
    <t>Should agree to GL before correction</t>
  </si>
  <si>
    <t>GL balance before correction</t>
  </si>
  <si>
    <t>GL</t>
  </si>
  <si>
    <t>Includes £1,000 payment that should not yet be in cleared bank</t>
  </si>
  <si>
    <t>Reconciliation difference</t>
  </si>
  <si>
    <t>INVESTIGATE</t>
  </si>
  <si>
    <t>Potential cash-book / posting issue</t>
  </si>
  <si>
    <t>Trade Receivables Reconciliation</t>
  </si>
  <si>
    <t>Customer subledger vs general ledger</t>
  </si>
  <si>
    <t>Customer</t>
  </si>
  <si>
    <t>Subledger Balance</t>
  </si>
  <si>
    <t>Issue</t>
  </si>
  <si>
    <t>Correct Amount</t>
  </si>
  <si>
    <t>Customer A</t>
  </si>
  <si>
    <t>None</t>
  </si>
  <si>
    <t>Customer B</t>
  </si>
  <si>
    <t>Customer C</t>
  </si>
  <si>
    <t>Customer D</t>
  </si>
  <si>
    <t>Credit note posted in subledger but not GL</t>
  </si>
  <si>
    <t>Customer E</t>
  </si>
  <si>
    <t>Duplicate invoice in GL</t>
  </si>
  <si>
    <t>TOTAL</t>
  </si>
  <si>
    <t>Compare with GL</t>
  </si>
  <si>
    <t>GL balance</t>
  </si>
  <si>
    <t>Difference requires investigation</t>
  </si>
  <si>
    <t>Trade Payables Reconciliation</t>
  </si>
  <si>
    <t>Supplier subledger vs general ledger</t>
  </si>
  <si>
    <t>Supplier</t>
  </si>
  <si>
    <t>Subledger</t>
  </si>
  <si>
    <t>Supplier A</t>
  </si>
  <si>
    <t>Supplier B</t>
  </si>
  <si>
    <t>Supplier C</t>
  </si>
  <si>
    <t>Supplier D</t>
  </si>
  <si>
    <t>Invoice posted to GL only</t>
  </si>
  <si>
    <t>Subledger total</t>
  </si>
  <si>
    <t>Unmatched invoice / duplicate posting</t>
  </si>
  <si>
    <t>Prepayments Reconciliation</t>
  </si>
  <si>
    <t>Insurance schedule vs GL</t>
  </si>
  <si>
    <t>Description</t>
  </si>
  <si>
    <t>Original Payment</t>
  </si>
  <si>
    <t>Monthly Expense</t>
  </si>
  <si>
    <t>Months Expensed</t>
  </si>
  <si>
    <t>Expected Closing</t>
  </si>
  <si>
    <t>Annual insurance</t>
  </si>
  <si>
    <t>Fixed Asset Reconciliation</t>
  </si>
  <si>
    <t>Asset register vs general ledger</t>
  </si>
  <si>
    <t>Asset</t>
  </si>
  <si>
    <t>Cost</t>
  </si>
  <si>
    <t>Accum. Depreciation</t>
  </si>
  <si>
    <t>NBV</t>
  </si>
  <si>
    <t>GL Cost</t>
  </si>
  <si>
    <t>GL Accum. Dep.</t>
  </si>
  <si>
    <t>Computer equipment</t>
  </si>
  <si>
    <t>Accrued Expenses Reconciliation</t>
  </si>
  <si>
    <t>Accrual schedule vs GL</t>
  </si>
  <si>
    <t>Accrual</t>
  </si>
  <si>
    <t>Support</t>
  </si>
  <si>
    <t>Expected GL</t>
  </si>
  <si>
    <t>Action</t>
  </si>
  <si>
    <t>Software invoice</t>
  </si>
  <si>
    <t>Agree</t>
  </si>
  <si>
    <t>Utilities</t>
  </si>
  <si>
    <t>Contractor costs</t>
  </si>
  <si>
    <t>Other operating accrual</t>
  </si>
  <si>
    <t>Missing accrual in GL</t>
  </si>
  <si>
    <t>Investigate £1,000 difference</t>
  </si>
  <si>
    <t>Investigation Log</t>
  </si>
  <si>
    <t>Root-cause analysis and corrective action tracker</t>
  </si>
  <si>
    <t>Issue ID</t>
  </si>
  <si>
    <t>Root Cause</t>
  </si>
  <si>
    <t>Risk</t>
  </si>
  <si>
    <t>Corrective Action</t>
  </si>
  <si>
    <t>Preventive Control</t>
  </si>
  <si>
    <t>Owner</t>
  </si>
  <si>
    <t>REC-001</t>
  </si>
  <si>
    <t>Timing/posting classification requires confirmation</t>
  </si>
  <si>
    <t>Cash balance may be misstated</t>
  </si>
  <si>
    <t>Review bank transaction and correct cash-book posting if required</t>
  </si>
  <si>
    <t>Daily bank reconciliation with reviewer sign-off</t>
  </si>
  <si>
    <t>Financial Accountant</t>
  </si>
  <si>
    <t>Open</t>
  </si>
  <si>
    <t>REC-002</t>
  </si>
  <si>
    <t>Duplicate invoice plus unposted credit note</t>
  </si>
  <si>
    <t>AR and revenue may be overstated</t>
  </si>
  <si>
    <t>Reverse duplicate and post credit note</t>
  </si>
  <si>
    <t>Monthly AR-to-GL reconciliation and credit-note approval</t>
  </si>
  <si>
    <t>GL Accountant</t>
  </si>
  <si>
    <t>REC-003</t>
  </si>
  <si>
    <t>Invoice posted to GL but absent from supplier subledger</t>
  </si>
  <si>
    <t>AP completeness/accuracy risk</t>
  </si>
  <si>
    <t>Correct supplier subledger or reverse duplicate</t>
  </si>
  <si>
    <t>AP subledger-to-GL reconciliation</t>
  </si>
  <si>
    <t>REC-004</t>
  </si>
  <si>
    <t>Monthly insurance expense not released</t>
  </si>
  <si>
    <t>Assets and expenses misstated</t>
  </si>
  <si>
    <t>Post prepayment release journal</t>
  </si>
  <si>
    <t>Monthly prepayment schedule and automated release</t>
  </si>
  <si>
    <t>REC-005</t>
  </si>
  <si>
    <t>Other operating accrual omitted</t>
  </si>
  <si>
    <t>Expenses/liabilities understated</t>
  </si>
  <si>
    <t>Post missing accrual</t>
  </si>
  <si>
    <t>Close checklist with accrual confirmation from budget owners</t>
  </si>
  <si>
    <t>Correcting Journal Entries</t>
  </si>
  <si>
    <t>Proposed entries arising from reconciliation investigations</t>
  </si>
  <si>
    <t>JE No.</t>
  </si>
  <si>
    <t>Date</t>
  </si>
  <si>
    <t>Debit</t>
  </si>
  <si>
    <t>Credit</t>
  </si>
  <si>
    <t>Narrative</t>
  </si>
  <si>
    <t>Approval</t>
  </si>
  <si>
    <t>REC-JE-002</t>
  </si>
  <si>
    <t>30/09/2026</t>
  </si>
  <si>
    <t>Revenue / Credit Note</t>
  </si>
  <si>
    <t>Reverse revenue relating to unposted credit note</t>
  </si>
  <si>
    <t>Pending</t>
  </si>
  <si>
    <t>Revenue / Duplicate Invoice</t>
  </si>
  <si>
    <t>Reverse duplicate customer invoice</t>
  </si>
  <si>
    <t>REC-JE-003</t>
  </si>
  <si>
    <t>Remove unmatched AP balance after confirming duplicate/incorrect posting</t>
  </si>
  <si>
    <t>Cost of Sales / Expense</t>
  </si>
  <si>
    <t>Remove unmatched AP balance</t>
  </si>
  <si>
    <t>REC-JE-004</t>
  </si>
  <si>
    <t>Rent &amp; Premises</t>
  </si>
  <si>
    <t>Release one month of insurance/prepayment expense</t>
  </si>
  <si>
    <t>Release one month of insurance/prepayment</t>
  </si>
  <si>
    <t>REC-JE-005</t>
  </si>
  <si>
    <t>Operating Expense</t>
  </si>
  <si>
    <t>Record omitted operating accrual</t>
  </si>
  <si>
    <t>Reconciliation Summary</t>
  </si>
  <si>
    <t>Reviewer view of all key balance-sheet reconciliations</t>
  </si>
  <si>
    <t>GL Before</t>
  </si>
  <si>
    <t>Investigation</t>
  </si>
  <si>
    <t>Correction</t>
  </si>
  <si>
    <t>Final Status</t>
  </si>
  <si>
    <t>To be confirmed</t>
  </si>
  <si>
    <t>£5,000 correction proposed</t>
  </si>
  <si>
    <t>£2,000 correction proposed</t>
  </si>
  <si>
    <t>£1,000 correction proposed</t>
  </si>
  <si>
    <t>£1,000 accrual proposed</t>
  </si>
  <si>
    <t>Reconciliation Sign-Off</t>
  </si>
  <si>
    <t>Final control evidence</t>
  </si>
  <si>
    <t>Prepared By</t>
  </si>
  <si>
    <t>Prepared Date</t>
  </si>
  <si>
    <t>Reviewed By</t>
  </si>
  <si>
    <t>Review Date</t>
  </si>
  <si>
    <t>Reviewer Comments</t>
  </si>
  <si>
    <t>Finance Manager</t>
  </si>
  <si>
    <t>03/10/2026</t>
  </si>
  <si>
    <t>Evidence retained with reconciliation support.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</si>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</sst>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b/>
      <sz val="13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Table" displayName="GLTable" ref="A3:E10">
  <autoFilter ref="A3:E10" xr:uid="{00000000-0009-0000-0100-000001000000}"/>
  <tableColumns count="5">
    <tableColumn id="1" xr3:uid="{00000000-0010-0000-0000-000001000000}" name="Account"/>
    <tableColumn id="2" xr3:uid="{00000000-0010-0000-0000-000002000000}" name="GL Balance"/>
    <tableColumn id="3" xr3:uid="{00000000-0010-0000-0000-000003000000}" name="Independent Support"/>
    <tableColumn id="4" xr3:uid="{00000000-0010-0000-0000-000004000000}" name="Difference"/>
    <tableColumn id="5" xr3:uid="{00000000-0010-0000-0000-000005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Table" displayName="ARTable" ref="A3:E10">
  <autoFilter ref="A3:E10" xr:uid="{00000000-0009-0000-0100-000002000000}"/>
  <tableColumns count="5">
    <tableColumn id="1" xr3:uid="{00000000-0010-0000-0100-000001000000}" name="Customer"/>
    <tableColumn id="2" xr3:uid="{00000000-0010-0000-0100-000002000000}" name="Subledger Balance"/>
    <tableColumn id="3" xr3:uid="{00000000-0010-0000-0100-000003000000}" name="Issue"/>
    <tableColumn id="4" xr3:uid="{00000000-0010-0000-0100-000004000000}" name="Correct Amount"/>
    <tableColumn id="5" xr3:uid="{00000000-0010-0000-0100-000005000000}" name="Dif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PTable" displayName="APTable" ref="A3:E9">
  <autoFilter ref="A3:E9" xr:uid="{00000000-0009-0000-0100-000003000000}"/>
  <tableColumns count="5">
    <tableColumn id="1" xr3:uid="{00000000-0010-0000-0200-000001000000}" name="Supplier"/>
    <tableColumn id="2" xr3:uid="{00000000-0010-0000-0200-000002000000}" name="Subledger"/>
    <tableColumn id="3" xr3:uid="{00000000-0010-0000-0200-000003000000}" name="Issue"/>
    <tableColumn id="4" xr3:uid="{00000000-0010-0000-0200-000004000000}" name="Correct Amount"/>
    <tableColumn id="5" xr3:uid="{00000000-0010-0000-0200-000005000000}" name="Diffe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Table" displayName="FATable" ref="A3:H4">
  <autoFilter ref="A3:H4" xr:uid="{00000000-0009-0000-0100-000004000000}"/>
  <tableColumns count="8">
    <tableColumn id="1" xr3:uid="{00000000-0010-0000-0300-000001000000}" name="Asset"/>
    <tableColumn id="2" xr3:uid="{00000000-0010-0000-0300-000002000000}" name="Cost"/>
    <tableColumn id="3" xr3:uid="{00000000-0010-0000-0300-000003000000}" name="Accum. Depreciation"/>
    <tableColumn id="4" xr3:uid="{00000000-0010-0000-0300-000004000000}" name="NBV"/>
    <tableColumn id="5" xr3:uid="{00000000-0010-0000-0300-000005000000}" name="GL Cost"/>
    <tableColumn id="6" xr3:uid="{00000000-0010-0000-0300-000006000000}" name="GL Accum. Dep."/>
    <tableColumn id="7" xr3:uid="{00000000-0010-0000-0300-000007000000}" name="Difference"/>
    <tableColumn id="8" xr3:uid="{00000000-0010-0000-0300-000008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crualTable" displayName="AccrualTable" ref="A3:F8">
  <autoFilter ref="A3:F8" xr:uid="{00000000-0009-0000-0100-000005000000}"/>
  <tableColumns count="6">
    <tableColumn id="1" xr3:uid="{00000000-0010-0000-0400-000001000000}" name="Accrual"/>
    <tableColumn id="2" xr3:uid="{00000000-0010-0000-0400-000002000000}" name="Support"/>
    <tableColumn id="3" xr3:uid="{00000000-0010-0000-0400-000003000000}" name="Expected GL"/>
    <tableColumn id="4" xr3:uid="{00000000-0010-0000-0400-000004000000}" name="GL Balance"/>
    <tableColumn id="5" xr3:uid="{00000000-0010-0000-0400-000005000000}" name="Difference"/>
    <tableColumn id="6" xr3:uid="{00000000-0010-0000-0400-000006000000}" name="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ssueTable" displayName="IssueTable" ref="A3:I8">
  <autoFilter ref="A3:I8" xr:uid="{00000000-0009-0000-0100-000006000000}"/>
  <tableColumns count="9">
    <tableColumn id="1" xr3:uid="{00000000-0010-0000-0500-000001000000}" name="Issue ID"/>
    <tableColumn id="2" xr3:uid="{00000000-0010-0000-0500-000002000000}" name="Account"/>
    <tableColumn id="3" xr3:uid="{00000000-0010-0000-0500-000003000000}" name="Difference"/>
    <tableColumn id="4" xr3:uid="{00000000-0010-0000-0500-000004000000}" name="Root Cause"/>
    <tableColumn id="5" xr3:uid="{00000000-0010-0000-0500-000005000000}" name="Risk"/>
    <tableColumn id="6" xr3:uid="{00000000-0010-0000-0500-000006000000}" name="Corrective Action"/>
    <tableColumn id="7" xr3:uid="{00000000-0010-0000-0500-000007000000}" name="Preventive Control"/>
    <tableColumn id="8" xr3:uid="{00000000-0010-0000-0500-000008000000}" name="Owner"/>
    <tableColumn id="9" xr3:uid="{00000000-0010-0000-0500-000009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ETable" displayName="JETable" ref="A3:G13">
  <autoFilter ref="A3:G13" xr:uid="{00000000-0009-0000-0100-000007000000}"/>
  <tableColumns count="7">
    <tableColumn id="1" xr3:uid="{00000000-0010-0000-0600-000001000000}" name="JE No."/>
    <tableColumn id="2" xr3:uid="{00000000-0010-0000-0600-000002000000}" name="Date"/>
    <tableColumn id="3" xr3:uid="{00000000-0010-0000-0600-000003000000}" name="Account"/>
    <tableColumn id="4" xr3:uid="{00000000-0010-0000-0600-000004000000}" name="Debit"/>
    <tableColumn id="5" xr3:uid="{00000000-0010-0000-0600-000005000000}" name="Credit"/>
    <tableColumn id="6" xr3:uid="{00000000-0010-0000-0600-000006000000}" name="Narrative"/>
    <tableColumn id="7" xr3:uid="{00000000-0010-0000-0600-000007000000}" name="Approv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ummaryTable" displayName="SummaryTable" ref="A3:G10">
  <autoFilter ref="A3:G10" xr:uid="{00000000-0009-0000-0100-000008000000}"/>
  <tableColumns count="7">
    <tableColumn id="1" xr3:uid="{00000000-0010-0000-0700-000001000000}" name="Account"/>
    <tableColumn id="2" xr3:uid="{00000000-0010-0000-0700-000002000000}" name="GL Before"/>
    <tableColumn id="3" xr3:uid="{00000000-0010-0000-0700-000003000000}" name="Support"/>
    <tableColumn id="4" xr3:uid="{00000000-0010-0000-0700-000004000000}" name="Difference"/>
    <tableColumn id="5" xr3:uid="{00000000-0010-0000-0700-000005000000}" name="Investigation"/>
    <tableColumn id="6" xr3:uid="{00000000-0010-0000-0700-000006000000}" name="Correction"/>
    <tableColumn id="7" xr3:uid="{00000000-0010-0000-0700-000007000000}" name="Final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ignTable" displayName="SignTable" ref="A3:G10">
  <autoFilter ref="A3:G10" xr:uid="{00000000-0009-0000-0100-000009000000}"/>
  <tableColumns count="7">
    <tableColumn id="1" xr3:uid="{00000000-0010-0000-0800-000001000000}" name="Account"/>
    <tableColumn id="2" xr3:uid="{00000000-0010-0000-0800-000002000000}" name="Prepared By"/>
    <tableColumn id="3" xr3:uid="{00000000-0010-0000-0800-000003000000}" name="Prepared Date"/>
    <tableColumn id="4" xr3:uid="{00000000-0010-0000-0800-000004000000}" name="Reviewed By"/>
    <tableColumn id="5" xr3:uid="{00000000-0010-0000-0800-000005000000}" name="Review Date"/>
    <tableColumn id="6" xr3:uid="{00000000-0010-0000-0800-000006000000}" name="Status"/>
    <tableColumn id="7" xr3:uid="{00000000-0010-0000-0800-000007000000}" name="Reviewer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8" customWidth="1"/>
    <col min="2" max="2" width="100" customWidth="1"/>
  </cols>
  <sheetData>
    <row r="1" spans="1:6" x14ac:dyDescent="0.25">
      <c r="A1" s="8" t="s">
        <v>0</v>
      </c>
      <c r="B1" s="7"/>
      <c r="C1" s="7"/>
      <c r="D1" s="7"/>
      <c r="E1" s="7"/>
      <c r="F1" s="7"/>
    </row>
    <row r="2" spans="1:6" x14ac:dyDescent="0.25">
      <c r="A2" s="6" t="s">
        <v>1</v>
      </c>
      <c r="B2" s="7"/>
      <c r="C2" s="7"/>
      <c r="D2" s="7"/>
      <c r="E2" s="7"/>
      <c r="F2" s="7"/>
    </row>
    <row r="3" spans="1:6" x14ac:dyDescent="0.25">
      <c r="A3" s="1"/>
      <c r="B3" s="1"/>
      <c r="C3" s="1"/>
      <c r="D3" s="1"/>
      <c r="E3" s="1"/>
      <c r="F3" s="1"/>
    </row>
    <row r="4" spans="1:6" ht="30" x14ac:dyDescent="0.25">
      <c r="A4" s="2" t="s">
        <v>2</v>
      </c>
      <c r="B4" s="1" t="s">
        <v>3</v>
      </c>
      <c r="C4" s="1"/>
      <c r="D4" s="1"/>
      <c r="E4" s="1"/>
      <c r="F4" s="1"/>
    </row>
    <row r="5" spans="1:6" x14ac:dyDescent="0.25">
      <c r="A5" s="2" t="s">
        <v>4</v>
      </c>
      <c r="B5" s="1" t="s">
        <v>5</v>
      </c>
      <c r="C5" s="1"/>
      <c r="D5" s="1"/>
      <c r="E5" s="1"/>
      <c r="F5" s="1"/>
    </row>
    <row r="6" spans="1:6" x14ac:dyDescent="0.25">
      <c r="A6" s="2" t="s">
        <v>6</v>
      </c>
      <c r="B6" s="1" t="s">
        <v>7</v>
      </c>
      <c r="C6" s="1"/>
      <c r="D6" s="1"/>
      <c r="E6" s="1"/>
      <c r="F6" s="1"/>
    </row>
    <row r="7" spans="1:6" x14ac:dyDescent="0.25">
      <c r="A7" s="2" t="s">
        <v>8</v>
      </c>
      <c r="B7" s="1" t="s">
        <v>9</v>
      </c>
      <c r="C7" s="1"/>
      <c r="D7" s="1"/>
      <c r="E7" s="1"/>
      <c r="F7" s="1"/>
    </row>
    <row r="8" spans="1:6" ht="30" x14ac:dyDescent="0.25">
      <c r="A8" s="2" t="s">
        <v>10</v>
      </c>
      <c r="B8" s="1" t="s">
        <v>11</v>
      </c>
      <c r="C8" s="1"/>
      <c r="D8" s="1"/>
      <c r="E8" s="1"/>
      <c r="F8" s="1"/>
    </row>
    <row r="9" spans="1:6" x14ac:dyDescent="0.25">
      <c r="A9" s="2" t="s">
        <v>12</v>
      </c>
      <c r="B9" s="1" t="s">
        <v>13</v>
      </c>
      <c r="C9" s="1"/>
      <c r="D9" s="1"/>
      <c r="E9" s="1"/>
      <c r="F9" s="1"/>
    </row>
    <row r="10" spans="1:6" x14ac:dyDescent="0.25">
      <c r="A10" s="2" t="s">
        <v>14</v>
      </c>
      <c r="B10" s="1" t="s">
        <v>15</v>
      </c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ht="17.25" x14ac:dyDescent="0.25">
      <c r="A13" s="3" t="s">
        <v>16</v>
      </c>
      <c r="B13" s="1"/>
      <c r="C13" s="1"/>
      <c r="D13" s="1"/>
      <c r="E13" s="1"/>
      <c r="F13" s="1"/>
    </row>
    <row r="14" spans="1:6" ht="30" x14ac:dyDescent="0.25">
      <c r="A14" s="1" t="s">
        <v>17</v>
      </c>
      <c r="B14" s="1"/>
      <c r="C14" s="1"/>
      <c r="D14" s="1"/>
      <c r="E14" s="1"/>
      <c r="F14" s="1"/>
    </row>
    <row r="15" spans="1:6" ht="30" x14ac:dyDescent="0.25">
      <c r="A15" s="1" t="s">
        <v>18</v>
      </c>
      <c r="B15" s="1"/>
      <c r="C15" s="1"/>
      <c r="D15" s="1"/>
      <c r="E15" s="1"/>
      <c r="F15" s="1"/>
    </row>
    <row r="16" spans="1:6" ht="30" x14ac:dyDescent="0.25">
      <c r="A16" s="1" t="s">
        <v>19</v>
      </c>
      <c r="B16" s="1"/>
      <c r="C16" s="1"/>
      <c r="D16" s="1"/>
      <c r="E16" s="1"/>
      <c r="F16" s="1"/>
    </row>
    <row r="17" spans="1:6" ht="30" x14ac:dyDescent="0.25">
      <c r="A17" s="1" t="s">
        <v>20</v>
      </c>
      <c r="B17" s="1"/>
      <c r="C17" s="1"/>
      <c r="D17" s="1"/>
      <c r="E17" s="1"/>
      <c r="F17" s="1"/>
    </row>
    <row r="18" spans="1:6" ht="30" x14ac:dyDescent="0.25">
      <c r="A18" s="1" t="s">
        <v>21</v>
      </c>
      <c r="B18" s="1"/>
      <c r="C18" s="1"/>
      <c r="D18" s="1"/>
      <c r="E18" s="1"/>
      <c r="F18" s="1"/>
    </row>
    <row r="19" spans="1:6" ht="30" x14ac:dyDescent="0.25">
      <c r="A19" s="1" t="s">
        <v>22</v>
      </c>
      <c r="B19" s="1"/>
      <c r="C19" s="1"/>
      <c r="D19" s="1"/>
      <c r="E19" s="1"/>
      <c r="F19" s="1"/>
    </row>
    <row r="20" spans="1:6" ht="30" x14ac:dyDescent="0.25">
      <c r="A20" s="1" t="s">
        <v>23</v>
      </c>
      <c r="B20" s="1"/>
      <c r="C20" s="1"/>
      <c r="D20" s="1"/>
      <c r="E20" s="1"/>
      <c r="F20" s="1"/>
    </row>
    <row r="21" spans="1:6" x14ac:dyDescent="0.25">
      <c r="A21" s="1" t="s">
        <v>24</v>
      </c>
      <c r="B21" s="1"/>
      <c r="C21" s="1"/>
      <c r="D21" s="1"/>
      <c r="E21" s="1"/>
      <c r="F21" s="1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8" customWidth="1"/>
    <col min="2" max="2" width="18" customWidth="1"/>
    <col min="3" max="3" width="22" customWidth="1"/>
    <col min="4" max="4" width="18" customWidth="1"/>
    <col min="5" max="5" width="20" customWidth="1"/>
  </cols>
  <sheetData>
    <row r="1" spans="1:6" x14ac:dyDescent="0.25">
      <c r="A1" s="8" t="s">
        <v>25</v>
      </c>
      <c r="B1" s="7"/>
      <c r="C1" s="7"/>
      <c r="D1" s="7"/>
      <c r="E1" s="7"/>
      <c r="F1" s="7"/>
    </row>
    <row r="2" spans="1:6" x14ac:dyDescent="0.25">
      <c r="A2" s="6" t="s">
        <v>26</v>
      </c>
      <c r="B2" s="7"/>
      <c r="C2" s="7"/>
      <c r="D2" s="7"/>
      <c r="E2" s="7"/>
      <c r="F2" s="7"/>
    </row>
    <row r="3" spans="1:6" x14ac:dyDescent="0.2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1"/>
    </row>
    <row r="4" spans="1:6" x14ac:dyDescent="0.25">
      <c r="A4" s="1" t="s">
        <v>32</v>
      </c>
      <c r="B4" s="5">
        <v>184950</v>
      </c>
      <c r="C4" s="5">
        <v>183950</v>
      </c>
      <c r="D4" s="5">
        <f t="shared" ref="D4:D10" si="0">B4-C4</f>
        <v>1000</v>
      </c>
      <c r="E4" s="1" t="str">
        <f t="shared" ref="E4:E10" si="1">IF(ABS(D4)&lt;0.01,"RECONCILED","INVESTIGATE")</f>
        <v>INVESTIGATE</v>
      </c>
      <c r="F4" s="1"/>
    </row>
    <row r="5" spans="1:6" x14ac:dyDescent="0.25">
      <c r="A5" s="1" t="s">
        <v>33</v>
      </c>
      <c r="B5" s="5">
        <v>30000</v>
      </c>
      <c r="C5" s="5">
        <v>25000</v>
      </c>
      <c r="D5" s="5">
        <f t="shared" si="0"/>
        <v>5000</v>
      </c>
      <c r="E5" s="1" t="str">
        <f t="shared" si="1"/>
        <v>INVESTIGATE</v>
      </c>
      <c r="F5" s="1"/>
    </row>
    <row r="6" spans="1:6" x14ac:dyDescent="0.25">
      <c r="A6" s="1" t="s">
        <v>34</v>
      </c>
      <c r="B6" s="5">
        <v>19000</v>
      </c>
      <c r="C6" s="5">
        <v>17000</v>
      </c>
      <c r="D6" s="5">
        <f t="shared" si="0"/>
        <v>2000</v>
      </c>
      <c r="E6" s="1" t="str">
        <f t="shared" si="1"/>
        <v>INVESTIGATE</v>
      </c>
      <c r="F6" s="1"/>
    </row>
    <row r="7" spans="1:6" x14ac:dyDescent="0.25">
      <c r="A7" s="1" t="s">
        <v>35</v>
      </c>
      <c r="B7" s="5">
        <v>12000</v>
      </c>
      <c r="C7" s="5">
        <v>11000</v>
      </c>
      <c r="D7" s="5">
        <f t="shared" si="0"/>
        <v>1000</v>
      </c>
      <c r="E7" s="1" t="str">
        <f t="shared" si="1"/>
        <v>INVESTIGATE</v>
      </c>
      <c r="F7" s="1"/>
    </row>
    <row r="8" spans="1:6" x14ac:dyDescent="0.25">
      <c r="A8" s="1" t="s">
        <v>36</v>
      </c>
      <c r="B8" s="5">
        <v>10000</v>
      </c>
      <c r="C8" s="5">
        <v>10000</v>
      </c>
      <c r="D8" s="5">
        <f t="shared" si="0"/>
        <v>0</v>
      </c>
      <c r="E8" s="1" t="str">
        <f t="shared" si="1"/>
        <v>RECONCILED</v>
      </c>
      <c r="F8" s="1"/>
    </row>
    <row r="9" spans="1:6" x14ac:dyDescent="0.25">
      <c r="A9" s="1" t="s">
        <v>37</v>
      </c>
      <c r="B9" s="5">
        <v>-200</v>
      </c>
      <c r="C9" s="5">
        <v>-200</v>
      </c>
      <c r="D9" s="5">
        <f t="shared" si="0"/>
        <v>0</v>
      </c>
      <c r="E9" s="1" t="str">
        <f t="shared" si="1"/>
        <v>RECONCILED</v>
      </c>
      <c r="F9" s="1"/>
    </row>
    <row r="10" spans="1:6" x14ac:dyDescent="0.25">
      <c r="A10" s="1" t="s">
        <v>38</v>
      </c>
      <c r="B10" s="5">
        <v>5700</v>
      </c>
      <c r="C10" s="5">
        <v>6700</v>
      </c>
      <c r="D10" s="5">
        <f t="shared" si="0"/>
        <v>-1000</v>
      </c>
      <c r="E10" s="1" t="str">
        <f t="shared" si="1"/>
        <v>INVESTIGATE</v>
      </c>
      <c r="F10" s="1"/>
    </row>
  </sheetData>
  <mergeCells count="2">
    <mergeCell ref="A2:F2"/>
    <mergeCell ref="A1:F1"/>
  </mergeCells>
  <conditionalFormatting sqref="D4:D10">
    <cfRule type="cellIs" dxfId="1" priority="1" operator="not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8" customWidth="1"/>
    <col min="2" max="2" width="18" customWidth="1"/>
    <col min="3" max="3" width="32" customWidth="1"/>
    <col min="4" max="4" width="65" customWidth="1"/>
  </cols>
  <sheetData>
    <row r="1" spans="1:6" x14ac:dyDescent="0.25">
      <c r="A1" s="8" t="s">
        <v>39</v>
      </c>
      <c r="B1" s="7"/>
      <c r="C1" s="7"/>
      <c r="D1" s="7"/>
      <c r="E1" s="7"/>
      <c r="F1" s="7"/>
    </row>
    <row r="2" spans="1:6" x14ac:dyDescent="0.25">
      <c r="A2" s="6" t="s">
        <v>40</v>
      </c>
      <c r="B2" s="7"/>
      <c r="C2" s="7"/>
      <c r="D2" s="7"/>
      <c r="E2" s="7"/>
      <c r="F2" s="7"/>
    </row>
    <row r="3" spans="1:6" x14ac:dyDescent="0.25">
      <c r="A3" s="4" t="s">
        <v>41</v>
      </c>
      <c r="B3" s="4" t="s">
        <v>42</v>
      </c>
      <c r="C3" s="4" t="s">
        <v>43</v>
      </c>
      <c r="D3" s="4" t="s">
        <v>44</v>
      </c>
      <c r="E3" s="1"/>
      <c r="F3" s="1"/>
    </row>
    <row r="4" spans="1:6" x14ac:dyDescent="0.25">
      <c r="A4" s="1" t="s">
        <v>45</v>
      </c>
      <c r="B4" s="5">
        <v>183950</v>
      </c>
      <c r="C4" s="1" t="s">
        <v>46</v>
      </c>
      <c r="D4" s="1" t="s">
        <v>47</v>
      </c>
      <c r="E4" s="1"/>
      <c r="F4" s="1"/>
    </row>
    <row r="5" spans="1:6" ht="30" x14ac:dyDescent="0.25">
      <c r="A5" s="1" t="s">
        <v>48</v>
      </c>
      <c r="B5" s="5">
        <v>1000</v>
      </c>
      <c r="C5" s="1" t="s">
        <v>49</v>
      </c>
      <c r="D5" s="1" t="s">
        <v>50</v>
      </c>
      <c r="E5" s="1"/>
      <c r="F5" s="1"/>
    </row>
    <row r="6" spans="1:6" x14ac:dyDescent="0.25">
      <c r="A6" s="1" t="s">
        <v>51</v>
      </c>
      <c r="B6" s="5">
        <v>0</v>
      </c>
      <c r="C6" s="1" t="s">
        <v>52</v>
      </c>
      <c r="D6" s="1" t="s">
        <v>53</v>
      </c>
      <c r="E6" s="1"/>
      <c r="F6" s="1"/>
    </row>
    <row r="7" spans="1:6" x14ac:dyDescent="0.25">
      <c r="A7" s="1" t="s">
        <v>54</v>
      </c>
      <c r="B7" s="5">
        <v>184950</v>
      </c>
      <c r="C7" s="1" t="s">
        <v>55</v>
      </c>
      <c r="D7" s="1" t="s">
        <v>56</v>
      </c>
      <c r="E7" s="1"/>
      <c r="F7" s="1"/>
    </row>
    <row r="8" spans="1:6" x14ac:dyDescent="0.25">
      <c r="A8" s="1" t="s">
        <v>57</v>
      </c>
      <c r="B8" s="5">
        <v>184950</v>
      </c>
      <c r="C8" s="1" t="s">
        <v>58</v>
      </c>
      <c r="D8" s="1" t="s">
        <v>59</v>
      </c>
      <c r="E8" s="1"/>
      <c r="F8" s="1"/>
    </row>
    <row r="9" spans="1:6" x14ac:dyDescent="0.25">
      <c r="A9" s="1" t="s">
        <v>60</v>
      </c>
      <c r="B9" s="5">
        <v>1000</v>
      </c>
      <c r="C9" s="1" t="s">
        <v>61</v>
      </c>
      <c r="D9" s="1" t="s">
        <v>62</v>
      </c>
      <c r="E9" s="1"/>
      <c r="F9" s="1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pane ySplit="3" topLeftCell="A4" activePane="bottomLeft" state="frozen"/>
      <selection pane="bottomLeft" activeCell="C19" sqref="C19"/>
    </sheetView>
  </sheetViews>
  <sheetFormatPr defaultRowHeight="15" x14ac:dyDescent="0.25"/>
  <cols>
    <col min="1" max="2" width="20" customWidth="1"/>
    <col min="3" max="3" width="50" customWidth="1"/>
    <col min="4" max="4" width="20" customWidth="1"/>
    <col min="5" max="5" width="18" customWidth="1"/>
  </cols>
  <sheetData>
    <row r="1" spans="1:6" ht="36" customHeight="1" x14ac:dyDescent="0.25">
      <c r="A1" s="8" t="s">
        <v>63</v>
      </c>
      <c r="B1" s="7"/>
      <c r="C1" s="7"/>
      <c r="D1" s="7"/>
      <c r="E1" s="7"/>
      <c r="F1" s="7"/>
    </row>
    <row r="2" spans="1:6" x14ac:dyDescent="0.25">
      <c r="A2" s="6" t="s">
        <v>64</v>
      </c>
      <c r="B2" s="7"/>
      <c r="C2" s="7"/>
      <c r="D2" s="7"/>
      <c r="E2" s="7"/>
      <c r="F2" s="7"/>
    </row>
    <row r="3" spans="1:6" x14ac:dyDescent="0.25">
      <c r="A3" s="4" t="s">
        <v>65</v>
      </c>
      <c r="B3" s="4" t="s">
        <v>66</v>
      </c>
      <c r="C3" s="4" t="s">
        <v>67</v>
      </c>
      <c r="D3" s="4" t="s">
        <v>68</v>
      </c>
      <c r="E3" s="4" t="s">
        <v>30</v>
      </c>
      <c r="F3" s="1"/>
    </row>
    <row r="4" spans="1:6" x14ac:dyDescent="0.25">
      <c r="A4" s="1" t="s">
        <v>69</v>
      </c>
      <c r="B4" s="5">
        <v>12000</v>
      </c>
      <c r="C4" s="1" t="s">
        <v>70</v>
      </c>
      <c r="D4" s="5">
        <v>12000</v>
      </c>
      <c r="E4" s="5">
        <f t="shared" ref="E4:E9" si="0">B4-D4</f>
        <v>0</v>
      </c>
      <c r="F4" s="1"/>
    </row>
    <row r="5" spans="1:6" x14ac:dyDescent="0.25">
      <c r="A5" s="1" t="s">
        <v>71</v>
      </c>
      <c r="B5" s="5">
        <v>8000</v>
      </c>
      <c r="C5" s="1" t="s">
        <v>70</v>
      </c>
      <c r="D5" s="5">
        <v>8000</v>
      </c>
      <c r="E5" s="5">
        <f t="shared" si="0"/>
        <v>0</v>
      </c>
      <c r="F5" s="1"/>
    </row>
    <row r="6" spans="1:6" x14ac:dyDescent="0.25">
      <c r="A6" s="1" t="s">
        <v>72</v>
      </c>
      <c r="B6" s="5">
        <v>5000</v>
      </c>
      <c r="C6" s="1" t="s">
        <v>70</v>
      </c>
      <c r="D6" s="5">
        <v>5000</v>
      </c>
      <c r="E6" s="5">
        <f t="shared" si="0"/>
        <v>0</v>
      </c>
      <c r="F6" s="1"/>
    </row>
    <row r="7" spans="1:6" x14ac:dyDescent="0.25">
      <c r="A7" s="1" t="s">
        <v>73</v>
      </c>
      <c r="B7" s="5">
        <v>0</v>
      </c>
      <c r="C7" s="1" t="s">
        <v>74</v>
      </c>
      <c r="D7" s="5">
        <v>-1000</v>
      </c>
      <c r="E7" s="5">
        <f t="shared" si="0"/>
        <v>1000</v>
      </c>
      <c r="F7" s="1"/>
    </row>
    <row r="8" spans="1:6" x14ac:dyDescent="0.25">
      <c r="A8" s="1" t="s">
        <v>75</v>
      </c>
      <c r="B8" s="5">
        <v>1000</v>
      </c>
      <c r="C8" s="1" t="s">
        <v>76</v>
      </c>
      <c r="D8" s="5">
        <v>0</v>
      </c>
      <c r="E8" s="5">
        <f t="shared" si="0"/>
        <v>1000</v>
      </c>
      <c r="F8" s="1"/>
    </row>
    <row r="9" spans="1:6" x14ac:dyDescent="0.25">
      <c r="A9" s="1" t="s">
        <v>77</v>
      </c>
      <c r="B9" s="5">
        <v>26000</v>
      </c>
      <c r="C9" s="1" t="s">
        <v>78</v>
      </c>
      <c r="D9" s="5">
        <v>25000</v>
      </c>
      <c r="E9" s="5">
        <f t="shared" si="0"/>
        <v>1000</v>
      </c>
      <c r="F9" s="1"/>
    </row>
    <row r="10" spans="1:6" x14ac:dyDescent="0.25">
      <c r="A10" s="1" t="s">
        <v>79</v>
      </c>
      <c r="B10" s="5">
        <v>30000</v>
      </c>
      <c r="C10" s="1" t="s">
        <v>80</v>
      </c>
      <c r="D10" s="5">
        <v>25000</v>
      </c>
      <c r="E10" s="5"/>
      <c r="F10" s="1"/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>
      <pane ySplit="3" topLeftCell="A4" activePane="bottomLeft" state="frozen"/>
      <selection pane="bottomLeft" sqref="A1:XFD1"/>
    </sheetView>
  </sheetViews>
  <sheetFormatPr defaultRowHeight="15" x14ac:dyDescent="0.25"/>
  <cols>
    <col min="1" max="1" width="20" customWidth="1"/>
    <col min="2" max="2" width="18" customWidth="1"/>
    <col min="3" max="3" width="48" customWidth="1"/>
    <col min="4" max="4" width="20" customWidth="1"/>
    <col min="5" max="5" width="18" customWidth="1"/>
  </cols>
  <sheetData>
    <row r="1" spans="1:6" ht="25.5" customHeight="1" x14ac:dyDescent="0.25">
      <c r="A1" s="8" t="s">
        <v>81</v>
      </c>
      <c r="B1" s="7"/>
      <c r="C1" s="7"/>
      <c r="D1" s="7"/>
      <c r="E1" s="7"/>
      <c r="F1" s="7"/>
    </row>
    <row r="2" spans="1:6" ht="16.5" customHeight="1" x14ac:dyDescent="0.25">
      <c r="A2" s="6" t="s">
        <v>82</v>
      </c>
      <c r="B2" s="7"/>
      <c r="C2" s="7"/>
      <c r="D2" s="7"/>
      <c r="E2" s="7"/>
      <c r="F2" s="7"/>
    </row>
    <row r="3" spans="1:6" x14ac:dyDescent="0.25">
      <c r="A3" s="4" t="s">
        <v>83</v>
      </c>
      <c r="B3" s="4" t="s">
        <v>84</v>
      </c>
      <c r="C3" s="4" t="s">
        <v>67</v>
      </c>
      <c r="D3" s="4" t="s">
        <v>68</v>
      </c>
      <c r="E3" s="4" t="s">
        <v>30</v>
      </c>
      <c r="F3" s="1"/>
    </row>
    <row r="4" spans="1:6" x14ac:dyDescent="0.25">
      <c r="A4" s="1" t="s">
        <v>85</v>
      </c>
      <c r="B4" s="5">
        <v>9000</v>
      </c>
      <c r="C4" s="1" t="s">
        <v>70</v>
      </c>
      <c r="D4" s="5">
        <v>9000</v>
      </c>
      <c r="E4" s="5">
        <f>B4-D4</f>
        <v>0</v>
      </c>
      <c r="F4" s="1"/>
    </row>
    <row r="5" spans="1:6" x14ac:dyDescent="0.25">
      <c r="A5" s="1" t="s">
        <v>86</v>
      </c>
      <c r="B5" s="5">
        <v>5000</v>
      </c>
      <c r="C5" s="1" t="s">
        <v>70</v>
      </c>
      <c r="D5" s="5">
        <v>5000</v>
      </c>
      <c r="E5" s="5">
        <f>B5-D5</f>
        <v>0</v>
      </c>
      <c r="F5" s="1"/>
    </row>
    <row r="6" spans="1:6" x14ac:dyDescent="0.25">
      <c r="A6" s="1" t="s">
        <v>87</v>
      </c>
      <c r="B6" s="5">
        <v>3000</v>
      </c>
      <c r="C6" s="1" t="s">
        <v>70</v>
      </c>
      <c r="D6" s="5">
        <v>3000</v>
      </c>
      <c r="E6" s="5">
        <f>B6-D6</f>
        <v>0</v>
      </c>
      <c r="F6" s="1"/>
    </row>
    <row r="7" spans="1:6" x14ac:dyDescent="0.25">
      <c r="A7" s="1" t="s">
        <v>88</v>
      </c>
      <c r="B7" s="5">
        <v>0</v>
      </c>
      <c r="C7" s="1" t="s">
        <v>89</v>
      </c>
      <c r="D7" s="5">
        <v>0</v>
      </c>
      <c r="E7" s="5">
        <f>B7-D7</f>
        <v>0</v>
      </c>
      <c r="F7" s="1"/>
    </row>
    <row r="8" spans="1:6" x14ac:dyDescent="0.25">
      <c r="A8" s="1" t="s">
        <v>77</v>
      </c>
      <c r="B8" s="5">
        <v>17000</v>
      </c>
      <c r="C8" s="1" t="s">
        <v>90</v>
      </c>
      <c r="D8" s="5">
        <v>17000</v>
      </c>
      <c r="E8" s="5">
        <f>B8-D8</f>
        <v>0</v>
      </c>
      <c r="F8" s="1"/>
    </row>
    <row r="9" spans="1:6" x14ac:dyDescent="0.25">
      <c r="A9" s="1" t="s">
        <v>79</v>
      </c>
      <c r="B9" s="5">
        <v>19000</v>
      </c>
      <c r="C9" s="1" t="s">
        <v>91</v>
      </c>
      <c r="D9" s="5">
        <v>17000</v>
      </c>
      <c r="E9" s="5"/>
      <c r="F9" s="1"/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5" customWidth="1"/>
    <col min="2" max="7" width="18" customWidth="1"/>
  </cols>
  <sheetData>
    <row r="1" spans="1:7" ht="30" customHeight="1" x14ac:dyDescent="0.25">
      <c r="A1" s="8" t="s">
        <v>92</v>
      </c>
      <c r="B1" s="7"/>
      <c r="C1" s="7"/>
      <c r="D1" s="7"/>
      <c r="E1" s="7"/>
      <c r="F1" s="7"/>
      <c r="G1" s="1"/>
    </row>
    <row r="2" spans="1:7" x14ac:dyDescent="0.25">
      <c r="A2" s="6" t="s">
        <v>93</v>
      </c>
      <c r="B2" s="7"/>
      <c r="C2" s="7"/>
      <c r="D2" s="7"/>
      <c r="E2" s="7"/>
      <c r="F2" s="7"/>
      <c r="G2" s="1"/>
    </row>
    <row r="3" spans="1:7" x14ac:dyDescent="0.25">
      <c r="A3" s="4" t="s">
        <v>94</v>
      </c>
      <c r="B3" s="4" t="s">
        <v>95</v>
      </c>
      <c r="C3" s="4" t="s">
        <v>96</v>
      </c>
      <c r="D3" s="4" t="s">
        <v>97</v>
      </c>
      <c r="E3" s="4" t="s">
        <v>98</v>
      </c>
      <c r="F3" s="4" t="s">
        <v>28</v>
      </c>
      <c r="G3" s="4" t="s">
        <v>30</v>
      </c>
    </row>
    <row r="4" spans="1:7" x14ac:dyDescent="0.25">
      <c r="A4" s="1" t="s">
        <v>99</v>
      </c>
      <c r="B4" s="5">
        <v>12000</v>
      </c>
      <c r="C4" s="5">
        <v>1000</v>
      </c>
      <c r="D4" s="5">
        <v>1</v>
      </c>
      <c r="E4" s="5">
        <v>11000</v>
      </c>
      <c r="F4" s="5">
        <v>12000</v>
      </c>
      <c r="G4" s="5">
        <f>E4-F4</f>
        <v>-1000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5" customWidth="1"/>
    <col min="2" max="8" width="18" customWidth="1"/>
  </cols>
  <sheetData>
    <row r="1" spans="1:8" ht="25.5" customHeight="1" x14ac:dyDescent="0.25">
      <c r="A1" s="8" t="s">
        <v>100</v>
      </c>
      <c r="B1" s="7"/>
      <c r="C1" s="7"/>
      <c r="D1" s="7"/>
      <c r="E1" s="7"/>
      <c r="F1" s="7"/>
      <c r="G1" s="1"/>
      <c r="H1" s="1"/>
    </row>
    <row r="2" spans="1:8" x14ac:dyDescent="0.25">
      <c r="A2" s="6" t="s">
        <v>101</v>
      </c>
      <c r="B2" s="7"/>
      <c r="C2" s="7"/>
      <c r="D2" s="7"/>
      <c r="E2" s="7"/>
      <c r="F2" s="7"/>
      <c r="G2" s="1"/>
      <c r="H2" s="1"/>
    </row>
    <row r="3" spans="1:8" ht="30" x14ac:dyDescent="0.25">
      <c r="A3" s="4" t="s">
        <v>102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107</v>
      </c>
      <c r="G3" s="4" t="s">
        <v>30</v>
      </c>
      <c r="H3" s="4" t="s">
        <v>31</v>
      </c>
    </row>
    <row r="4" spans="1:8" x14ac:dyDescent="0.25">
      <c r="A4" s="1" t="s">
        <v>108</v>
      </c>
      <c r="B4" s="5">
        <v>10000</v>
      </c>
      <c r="C4" s="5">
        <v>200</v>
      </c>
      <c r="D4" s="5">
        <v>9800</v>
      </c>
      <c r="E4" s="5">
        <v>10000</v>
      </c>
      <c r="F4" s="5">
        <v>-200</v>
      </c>
      <c r="G4" s="5">
        <f>B4-E4</f>
        <v>0</v>
      </c>
      <c r="H4" s="1" t="str">
        <f>IF(ABS(G4)&lt;0.01,"RECONCILED","INVESTIGATE")</f>
        <v>RECONCILED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0" customWidth="1"/>
    <col min="2" max="5" width="18" customWidth="1"/>
    <col min="6" max="6" width="35" customWidth="1"/>
  </cols>
  <sheetData>
    <row r="1" spans="1:6" x14ac:dyDescent="0.25">
      <c r="A1" s="8" t="s">
        <v>109</v>
      </c>
      <c r="B1" s="7"/>
      <c r="C1" s="7"/>
      <c r="D1" s="7"/>
      <c r="E1" s="7"/>
      <c r="F1" s="7"/>
    </row>
    <row r="2" spans="1:6" x14ac:dyDescent="0.25">
      <c r="A2" s="6" t="s">
        <v>110</v>
      </c>
      <c r="B2" s="7"/>
      <c r="C2" s="7"/>
      <c r="D2" s="7"/>
      <c r="E2" s="7"/>
      <c r="F2" s="7"/>
    </row>
    <row r="3" spans="1:6" x14ac:dyDescent="0.25">
      <c r="A3" s="4" t="s">
        <v>111</v>
      </c>
      <c r="B3" s="4" t="s">
        <v>112</v>
      </c>
      <c r="C3" s="4" t="s">
        <v>113</v>
      </c>
      <c r="D3" s="4" t="s">
        <v>28</v>
      </c>
      <c r="E3" s="4" t="s">
        <v>30</v>
      </c>
      <c r="F3" s="4" t="s">
        <v>114</v>
      </c>
    </row>
    <row r="4" spans="1:6" x14ac:dyDescent="0.25">
      <c r="A4" s="1" t="s">
        <v>115</v>
      </c>
      <c r="B4" s="5">
        <v>800</v>
      </c>
      <c r="C4" s="5">
        <v>800</v>
      </c>
      <c r="D4" s="5">
        <v>800</v>
      </c>
      <c r="E4" s="5">
        <f>C4-D4</f>
        <v>0</v>
      </c>
      <c r="F4" s="1" t="s">
        <v>116</v>
      </c>
    </row>
    <row r="5" spans="1:6" x14ac:dyDescent="0.25">
      <c r="A5" s="1" t="s">
        <v>117</v>
      </c>
      <c r="B5" s="5">
        <v>1200</v>
      </c>
      <c r="C5" s="5">
        <v>1200</v>
      </c>
      <c r="D5" s="5">
        <v>1200</v>
      </c>
      <c r="E5" s="5">
        <f>C5-D5</f>
        <v>0</v>
      </c>
      <c r="F5" s="1" t="s">
        <v>116</v>
      </c>
    </row>
    <row r="6" spans="1:6" x14ac:dyDescent="0.25">
      <c r="A6" s="1" t="s">
        <v>118</v>
      </c>
      <c r="B6" s="5">
        <v>3500</v>
      </c>
      <c r="C6" s="5">
        <v>3500</v>
      </c>
      <c r="D6" s="5">
        <v>3500</v>
      </c>
      <c r="E6" s="5">
        <f>C6-D6</f>
        <v>0</v>
      </c>
      <c r="F6" s="1" t="s">
        <v>116</v>
      </c>
    </row>
    <row r="7" spans="1:6" x14ac:dyDescent="0.25">
      <c r="A7" s="1" t="s">
        <v>119</v>
      </c>
      <c r="B7" s="5">
        <v>1200</v>
      </c>
      <c r="C7" s="5">
        <v>1200</v>
      </c>
      <c r="D7" s="5">
        <v>0</v>
      </c>
      <c r="E7" s="5">
        <f>C7-D7</f>
        <v>1200</v>
      </c>
      <c r="F7" s="1" t="s">
        <v>120</v>
      </c>
    </row>
    <row r="8" spans="1:6" x14ac:dyDescent="0.25">
      <c r="A8" s="1" t="s">
        <v>77</v>
      </c>
      <c r="B8" s="5">
        <v>6700</v>
      </c>
      <c r="C8" s="5">
        <v>6700</v>
      </c>
      <c r="D8" s="5">
        <v>5700</v>
      </c>
      <c r="E8" s="5">
        <f>C8-D8</f>
        <v>1000</v>
      </c>
      <c r="F8" s="1" t="s">
        <v>121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2" customWidth="1"/>
    <col min="2" max="2" width="24" customWidth="1"/>
    <col min="3" max="3" width="15" customWidth="1"/>
    <col min="4" max="4" width="48" customWidth="1"/>
    <col min="5" max="5" width="35" customWidth="1"/>
    <col min="6" max="6" width="42" customWidth="1"/>
    <col min="7" max="7" width="45" customWidth="1"/>
    <col min="8" max="8" width="22" customWidth="1"/>
    <col min="9" max="9" width="15" customWidth="1"/>
  </cols>
  <sheetData>
    <row r="1" spans="1:9" x14ac:dyDescent="0.25">
      <c r="A1" s="8" t="s">
        <v>122</v>
      </c>
      <c r="B1" s="7"/>
      <c r="C1" s="7"/>
      <c r="D1" s="7"/>
      <c r="E1" s="7"/>
      <c r="F1" s="7"/>
      <c r="G1" s="1"/>
      <c r="H1" s="1"/>
      <c r="I1" s="1"/>
    </row>
    <row r="2" spans="1:9" x14ac:dyDescent="0.25">
      <c r="A2" s="6" t="s">
        <v>123</v>
      </c>
      <c r="B2" s="7"/>
      <c r="C2" s="7"/>
      <c r="D2" s="7"/>
      <c r="E2" s="7"/>
      <c r="F2" s="7"/>
      <c r="G2" s="1"/>
      <c r="H2" s="1"/>
      <c r="I2" s="1"/>
    </row>
    <row r="3" spans="1:9" x14ac:dyDescent="0.25">
      <c r="A3" s="4" t="s">
        <v>124</v>
      </c>
      <c r="B3" s="4" t="s">
        <v>27</v>
      </c>
      <c r="C3" s="4" t="s">
        <v>30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 t="s">
        <v>31</v>
      </c>
    </row>
    <row r="4" spans="1:9" ht="30" x14ac:dyDescent="0.25">
      <c r="A4" s="1" t="s">
        <v>130</v>
      </c>
      <c r="B4" s="1" t="s">
        <v>32</v>
      </c>
      <c r="C4" s="1">
        <v>1000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135</v>
      </c>
      <c r="I4" s="1" t="s">
        <v>136</v>
      </c>
    </row>
    <row r="5" spans="1:9" ht="30" x14ac:dyDescent="0.25">
      <c r="A5" s="1" t="s">
        <v>137</v>
      </c>
      <c r="B5" s="1" t="s">
        <v>33</v>
      </c>
      <c r="C5" s="1">
        <v>5000</v>
      </c>
      <c r="D5" s="1" t="s">
        <v>138</v>
      </c>
      <c r="E5" s="1" t="s">
        <v>139</v>
      </c>
      <c r="F5" s="1" t="s">
        <v>140</v>
      </c>
      <c r="G5" s="1" t="s">
        <v>141</v>
      </c>
      <c r="H5" s="1" t="s">
        <v>142</v>
      </c>
      <c r="I5" s="1" t="s">
        <v>136</v>
      </c>
    </row>
    <row r="6" spans="1:9" ht="30" x14ac:dyDescent="0.25">
      <c r="A6" s="1" t="s">
        <v>143</v>
      </c>
      <c r="B6" s="1" t="s">
        <v>34</v>
      </c>
      <c r="C6" s="1">
        <v>2000</v>
      </c>
      <c r="D6" s="1" t="s">
        <v>144</v>
      </c>
      <c r="E6" s="1" t="s">
        <v>145</v>
      </c>
      <c r="F6" s="1" t="s">
        <v>146</v>
      </c>
      <c r="G6" s="1" t="s">
        <v>147</v>
      </c>
      <c r="H6" s="1" t="s">
        <v>142</v>
      </c>
      <c r="I6" s="1" t="s">
        <v>136</v>
      </c>
    </row>
    <row r="7" spans="1:9" ht="30" x14ac:dyDescent="0.25">
      <c r="A7" s="1" t="s">
        <v>148</v>
      </c>
      <c r="B7" s="1" t="s">
        <v>35</v>
      </c>
      <c r="C7" s="1">
        <v>1000</v>
      </c>
      <c r="D7" s="1" t="s">
        <v>149</v>
      </c>
      <c r="E7" s="1" t="s">
        <v>150</v>
      </c>
      <c r="F7" s="1" t="s">
        <v>151</v>
      </c>
      <c r="G7" s="1" t="s">
        <v>152</v>
      </c>
      <c r="H7" s="1" t="s">
        <v>135</v>
      </c>
      <c r="I7" s="1" t="s">
        <v>136</v>
      </c>
    </row>
    <row r="8" spans="1:9" ht="30" x14ac:dyDescent="0.25">
      <c r="A8" s="1" t="s">
        <v>153</v>
      </c>
      <c r="B8" s="1" t="s">
        <v>38</v>
      </c>
      <c r="C8" s="1">
        <v>1000</v>
      </c>
      <c r="D8" s="1" t="s">
        <v>154</v>
      </c>
      <c r="E8" s="1" t="s">
        <v>155</v>
      </c>
      <c r="F8" s="1" t="s">
        <v>156</v>
      </c>
      <c r="G8" s="1" t="s">
        <v>157</v>
      </c>
      <c r="H8" s="1" t="s">
        <v>135</v>
      </c>
      <c r="I8" s="1" t="s">
        <v>136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5" customWidth="1"/>
    <col min="2" max="2" width="13" customWidth="1"/>
    <col min="3" max="3" width="32" customWidth="1"/>
    <col min="4" max="5" width="15" customWidth="1"/>
    <col min="6" max="6" width="55" customWidth="1"/>
    <col min="7" max="7" width="15" customWidth="1"/>
  </cols>
  <sheetData>
    <row r="1" spans="1:7" x14ac:dyDescent="0.25">
      <c r="A1" s="8" t="s">
        <v>158</v>
      </c>
      <c r="B1" s="7"/>
      <c r="C1" s="7"/>
      <c r="D1" s="7"/>
      <c r="E1" s="7"/>
      <c r="F1" s="7"/>
      <c r="G1" s="1"/>
    </row>
    <row r="2" spans="1:7" x14ac:dyDescent="0.25">
      <c r="A2" s="6" t="s">
        <v>159</v>
      </c>
      <c r="B2" s="7"/>
      <c r="C2" s="7"/>
      <c r="D2" s="7"/>
      <c r="E2" s="7"/>
      <c r="F2" s="7"/>
      <c r="G2" s="1"/>
    </row>
    <row r="3" spans="1:7" x14ac:dyDescent="0.25">
      <c r="A3" s="4" t="s">
        <v>160</v>
      </c>
      <c r="B3" s="4" t="s">
        <v>161</v>
      </c>
      <c r="C3" s="4" t="s">
        <v>27</v>
      </c>
      <c r="D3" s="4" t="s">
        <v>162</v>
      </c>
      <c r="E3" s="4" t="s">
        <v>163</v>
      </c>
      <c r="F3" s="4" t="s">
        <v>164</v>
      </c>
      <c r="G3" s="4" t="s">
        <v>165</v>
      </c>
    </row>
    <row r="4" spans="1:7" x14ac:dyDescent="0.25">
      <c r="A4" s="1" t="s">
        <v>166</v>
      </c>
      <c r="B4" s="1" t="s">
        <v>167</v>
      </c>
      <c r="C4" s="1" t="s">
        <v>168</v>
      </c>
      <c r="D4" s="5">
        <v>1000</v>
      </c>
      <c r="E4" s="5">
        <v>0</v>
      </c>
      <c r="F4" s="1" t="s">
        <v>169</v>
      </c>
      <c r="G4" s="1" t="s">
        <v>170</v>
      </c>
    </row>
    <row r="5" spans="1:7" x14ac:dyDescent="0.25">
      <c r="A5" s="1" t="s">
        <v>166</v>
      </c>
      <c r="B5" s="1" t="s">
        <v>167</v>
      </c>
      <c r="C5" s="1" t="s">
        <v>33</v>
      </c>
      <c r="D5" s="5">
        <v>0</v>
      </c>
      <c r="E5" s="5">
        <v>1000</v>
      </c>
      <c r="F5" s="1" t="s">
        <v>169</v>
      </c>
      <c r="G5" s="1" t="s">
        <v>170</v>
      </c>
    </row>
    <row r="6" spans="1:7" x14ac:dyDescent="0.25">
      <c r="A6" s="1" t="s">
        <v>166</v>
      </c>
      <c r="B6" s="1" t="s">
        <v>167</v>
      </c>
      <c r="C6" s="1" t="s">
        <v>171</v>
      </c>
      <c r="D6" s="5">
        <v>4000</v>
      </c>
      <c r="E6" s="5">
        <v>0</v>
      </c>
      <c r="F6" s="1" t="s">
        <v>172</v>
      </c>
      <c r="G6" s="1" t="s">
        <v>170</v>
      </c>
    </row>
    <row r="7" spans="1:7" x14ac:dyDescent="0.25">
      <c r="A7" s="1" t="s">
        <v>166</v>
      </c>
      <c r="B7" s="1" t="s">
        <v>167</v>
      </c>
      <c r="C7" s="1" t="s">
        <v>33</v>
      </c>
      <c r="D7" s="5">
        <v>0</v>
      </c>
      <c r="E7" s="5">
        <v>4000</v>
      </c>
      <c r="F7" s="1" t="s">
        <v>172</v>
      </c>
      <c r="G7" s="1" t="s">
        <v>170</v>
      </c>
    </row>
    <row r="8" spans="1:7" ht="30" x14ac:dyDescent="0.25">
      <c r="A8" s="1" t="s">
        <v>173</v>
      </c>
      <c r="B8" s="1" t="s">
        <v>167</v>
      </c>
      <c r="C8" s="1" t="s">
        <v>34</v>
      </c>
      <c r="D8" s="5">
        <v>2000</v>
      </c>
      <c r="E8" s="5">
        <v>0</v>
      </c>
      <c r="F8" s="1" t="s">
        <v>174</v>
      </c>
      <c r="G8" s="1" t="s">
        <v>170</v>
      </c>
    </row>
    <row r="9" spans="1:7" x14ac:dyDescent="0.25">
      <c r="A9" s="1" t="s">
        <v>173</v>
      </c>
      <c r="B9" s="1" t="s">
        <v>167</v>
      </c>
      <c r="C9" s="1" t="s">
        <v>175</v>
      </c>
      <c r="D9" s="5">
        <v>0</v>
      </c>
      <c r="E9" s="5">
        <v>2000</v>
      </c>
      <c r="F9" s="1" t="s">
        <v>176</v>
      </c>
      <c r="G9" s="1" t="s">
        <v>170</v>
      </c>
    </row>
    <row r="10" spans="1:7" x14ac:dyDescent="0.25">
      <c r="A10" s="1" t="s">
        <v>177</v>
      </c>
      <c r="B10" s="1" t="s">
        <v>167</v>
      </c>
      <c r="C10" s="1" t="s">
        <v>178</v>
      </c>
      <c r="D10" s="5">
        <v>1000</v>
      </c>
      <c r="E10" s="5">
        <v>0</v>
      </c>
      <c r="F10" s="1" t="s">
        <v>179</v>
      </c>
      <c r="G10" s="1" t="s">
        <v>170</v>
      </c>
    </row>
    <row r="11" spans="1:7" x14ac:dyDescent="0.25">
      <c r="A11" s="1" t="s">
        <v>177</v>
      </c>
      <c r="B11" s="1" t="s">
        <v>167</v>
      </c>
      <c r="C11" s="1" t="s">
        <v>35</v>
      </c>
      <c r="D11" s="5">
        <v>0</v>
      </c>
      <c r="E11" s="5">
        <v>1000</v>
      </c>
      <c r="F11" s="1" t="s">
        <v>180</v>
      </c>
      <c r="G11" s="1" t="s">
        <v>170</v>
      </c>
    </row>
    <row r="12" spans="1:7" x14ac:dyDescent="0.25">
      <c r="A12" s="1" t="s">
        <v>181</v>
      </c>
      <c r="B12" s="1" t="s">
        <v>167</v>
      </c>
      <c r="C12" s="1" t="s">
        <v>182</v>
      </c>
      <c r="D12" s="5">
        <v>1000</v>
      </c>
      <c r="E12" s="5">
        <v>0</v>
      </c>
      <c r="F12" s="1" t="s">
        <v>183</v>
      </c>
      <c r="G12" s="1" t="s">
        <v>170</v>
      </c>
    </row>
    <row r="13" spans="1:7" x14ac:dyDescent="0.25">
      <c r="A13" s="1" t="s">
        <v>181</v>
      </c>
      <c r="B13" s="1" t="s">
        <v>167</v>
      </c>
      <c r="C13" s="1" t="s">
        <v>38</v>
      </c>
      <c r="D13" s="5">
        <v>0</v>
      </c>
      <c r="E13" s="5">
        <v>1000</v>
      </c>
      <c r="F13" s="1" t="s">
        <v>183</v>
      </c>
      <c r="G13" s="1" t="s">
        <v>170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8" customWidth="1"/>
    <col min="2" max="4" width="16" customWidth="1"/>
    <col min="5" max="5" width="15" customWidth="1"/>
    <col min="6" max="6" width="32" customWidth="1"/>
    <col min="7" max="7" width="18" customWidth="1"/>
  </cols>
  <sheetData>
    <row r="1" spans="1:7" x14ac:dyDescent="0.25">
      <c r="A1" s="8" t="s">
        <v>184</v>
      </c>
      <c r="B1" s="7"/>
      <c r="C1" s="7"/>
      <c r="D1" s="7"/>
      <c r="E1" s="7"/>
      <c r="F1" s="7"/>
      <c r="G1" s="1"/>
    </row>
    <row r="2" spans="1:7" x14ac:dyDescent="0.25">
      <c r="A2" s="6" t="s">
        <v>185</v>
      </c>
      <c r="B2" s="7"/>
      <c r="C2" s="7"/>
      <c r="D2" s="7"/>
      <c r="E2" s="7"/>
      <c r="F2" s="7"/>
      <c r="G2" s="1"/>
    </row>
    <row r="3" spans="1:7" x14ac:dyDescent="0.25">
      <c r="A3" s="4" t="s">
        <v>27</v>
      </c>
      <c r="B3" s="4" t="s">
        <v>186</v>
      </c>
      <c r="C3" s="4" t="s">
        <v>112</v>
      </c>
      <c r="D3" s="4" t="s">
        <v>30</v>
      </c>
      <c r="E3" s="4" t="s">
        <v>187</v>
      </c>
      <c r="F3" s="4" t="s">
        <v>188</v>
      </c>
      <c r="G3" s="4" t="s">
        <v>189</v>
      </c>
    </row>
    <row r="4" spans="1:7" x14ac:dyDescent="0.25">
      <c r="A4" s="1" t="s">
        <v>32</v>
      </c>
      <c r="B4" s="5">
        <v>184950</v>
      </c>
      <c r="C4" s="5">
        <v>183950</v>
      </c>
      <c r="D4" s="5">
        <v>1000</v>
      </c>
      <c r="E4" s="1" t="s">
        <v>130</v>
      </c>
      <c r="F4" s="1" t="s">
        <v>190</v>
      </c>
      <c r="G4" s="1" t="s">
        <v>136</v>
      </c>
    </row>
    <row r="5" spans="1:7" x14ac:dyDescent="0.25">
      <c r="A5" s="1" t="s">
        <v>33</v>
      </c>
      <c r="B5" s="5">
        <v>30000</v>
      </c>
      <c r="C5" s="5">
        <v>25000</v>
      </c>
      <c r="D5" s="5">
        <v>5000</v>
      </c>
      <c r="E5" s="1" t="s">
        <v>137</v>
      </c>
      <c r="F5" s="1" t="s">
        <v>191</v>
      </c>
      <c r="G5" s="1" t="s">
        <v>136</v>
      </c>
    </row>
    <row r="6" spans="1:7" x14ac:dyDescent="0.25">
      <c r="A6" s="1" t="s">
        <v>34</v>
      </c>
      <c r="B6" s="5">
        <v>19000</v>
      </c>
      <c r="C6" s="5">
        <v>17000</v>
      </c>
      <c r="D6" s="5">
        <v>2000</v>
      </c>
      <c r="E6" s="1" t="s">
        <v>143</v>
      </c>
      <c r="F6" s="1" t="s">
        <v>192</v>
      </c>
      <c r="G6" s="1" t="s">
        <v>136</v>
      </c>
    </row>
    <row r="7" spans="1:7" x14ac:dyDescent="0.25">
      <c r="A7" s="1" t="s">
        <v>35</v>
      </c>
      <c r="B7" s="5">
        <v>12000</v>
      </c>
      <c r="C7" s="5">
        <v>11000</v>
      </c>
      <c r="D7" s="5">
        <v>1000</v>
      </c>
      <c r="E7" s="1" t="s">
        <v>148</v>
      </c>
      <c r="F7" s="1" t="s">
        <v>193</v>
      </c>
      <c r="G7" s="1" t="s">
        <v>136</v>
      </c>
    </row>
    <row r="8" spans="1:7" x14ac:dyDescent="0.25">
      <c r="A8" s="1" t="s">
        <v>36</v>
      </c>
      <c r="B8" s="5">
        <v>10000</v>
      </c>
      <c r="C8" s="5">
        <v>10000</v>
      </c>
      <c r="D8" s="5">
        <v>0</v>
      </c>
      <c r="E8" s="1" t="s">
        <v>52</v>
      </c>
      <c r="F8" s="1" t="s">
        <v>70</v>
      </c>
      <c r="G8" s="1" t="s">
        <v>55</v>
      </c>
    </row>
    <row r="9" spans="1:7" x14ac:dyDescent="0.25">
      <c r="A9" s="1" t="s">
        <v>37</v>
      </c>
      <c r="B9" s="5">
        <v>-200</v>
      </c>
      <c r="C9" s="5">
        <v>-200</v>
      </c>
      <c r="D9" s="5">
        <v>0</v>
      </c>
      <c r="E9" s="1" t="s">
        <v>52</v>
      </c>
      <c r="F9" s="1" t="s">
        <v>70</v>
      </c>
      <c r="G9" s="1" t="s">
        <v>55</v>
      </c>
    </row>
    <row r="10" spans="1:7" x14ac:dyDescent="0.25">
      <c r="A10" s="1" t="s">
        <v>38</v>
      </c>
      <c r="B10" s="5">
        <v>5700</v>
      </c>
      <c r="C10" s="5">
        <v>6700</v>
      </c>
      <c r="D10" s="5">
        <v>-1000</v>
      </c>
      <c r="E10" s="1" t="s">
        <v>153</v>
      </c>
      <c r="F10" s="1" t="s">
        <v>194</v>
      </c>
      <c r="G10" s="1" t="s">
        <v>136</v>
      </c>
    </row>
  </sheetData>
  <mergeCells count="2">
    <mergeCell ref="A2:F2"/>
    <mergeCell ref="A1:F1"/>
  </mergeCells>
  <conditionalFormatting sqref="D4:D10">
    <cfRule type="cellIs" dxfId="0" priority="1" operator="not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showGridLines="0" tabSelected="1" workbookViewId="0">
      <pane ySplit="3" topLeftCell="A4" activePane="bottomLeft" state="frozen"/>
      <selection pane="bottomLeft" activeCell="D22" sqref="D22"/>
    </sheetView>
  </sheetViews>
  <sheetFormatPr defaultRowHeight="15" x14ac:dyDescent="0.25"/>
  <cols>
    <col min="1" max="1" width="28" customWidth="1"/>
    <col min="2" max="2" width="22" customWidth="1"/>
    <col min="3" max="3" width="18" customWidth="1"/>
    <col min="4" max="4" width="22" customWidth="1"/>
    <col min="5" max="5" width="18" customWidth="1"/>
    <col min="6" max="6" width="16" customWidth="1"/>
    <col min="7" max="7" width="55" customWidth="1"/>
  </cols>
  <sheetData>
    <row r="1" spans="1:7" ht="24.75" customHeight="1" x14ac:dyDescent="0.25">
      <c r="A1" s="8" t="s">
        <v>195</v>
      </c>
      <c r="B1" s="7"/>
      <c r="C1" s="7"/>
      <c r="D1" s="7"/>
      <c r="E1" s="7"/>
      <c r="F1" s="7"/>
      <c r="G1" s="1"/>
    </row>
    <row r="2" spans="1:7" x14ac:dyDescent="0.25">
      <c r="A2" s="6" t="s">
        <v>196</v>
      </c>
      <c r="B2" s="7"/>
      <c r="C2" s="7"/>
      <c r="D2" s="7"/>
      <c r="E2" s="7"/>
      <c r="F2" s="7"/>
      <c r="G2" s="1"/>
    </row>
    <row r="3" spans="1:7" x14ac:dyDescent="0.25">
      <c r="A3" s="4" t="s">
        <v>27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31</v>
      </c>
      <c r="G3" s="4" t="s">
        <v>201</v>
      </c>
    </row>
    <row r="4" spans="1:7" x14ac:dyDescent="0.25">
      <c r="A4" s="1" t="s">
        <v>32</v>
      </c>
      <c r="B4" s="1" t="s">
        <v>135</v>
      </c>
      <c r="C4" s="1" t="s">
        <v>167</v>
      </c>
      <c r="D4" s="1" t="s">
        <v>202</v>
      </c>
      <c r="E4" s="1" t="s">
        <v>203</v>
      </c>
      <c r="F4" s="1" t="s">
        <v>170</v>
      </c>
      <c r="G4" s="1" t="s">
        <v>204</v>
      </c>
    </row>
    <row r="5" spans="1:7" x14ac:dyDescent="0.25">
      <c r="A5" s="1" t="s">
        <v>33</v>
      </c>
      <c r="B5" s="1" t="s">
        <v>135</v>
      </c>
      <c r="C5" s="1" t="s">
        <v>167</v>
      </c>
      <c r="D5" s="1" t="s">
        <v>202</v>
      </c>
      <c r="E5" s="1" t="s">
        <v>203</v>
      </c>
      <c r="F5" s="1" t="s">
        <v>170</v>
      </c>
      <c r="G5" s="1" t="s">
        <v>204</v>
      </c>
    </row>
    <row r="6" spans="1:7" x14ac:dyDescent="0.25">
      <c r="A6" s="1" t="s">
        <v>34</v>
      </c>
      <c r="B6" s="1" t="s">
        <v>135</v>
      </c>
      <c r="C6" s="1" t="s">
        <v>167</v>
      </c>
      <c r="D6" s="1" t="s">
        <v>202</v>
      </c>
      <c r="E6" s="1" t="s">
        <v>203</v>
      </c>
      <c r="F6" s="1" t="s">
        <v>170</v>
      </c>
      <c r="G6" s="1" t="s">
        <v>204</v>
      </c>
    </row>
    <row r="7" spans="1:7" x14ac:dyDescent="0.25">
      <c r="A7" s="1" t="s">
        <v>35</v>
      </c>
      <c r="B7" s="1" t="s">
        <v>135</v>
      </c>
      <c r="C7" s="1" t="s">
        <v>167</v>
      </c>
      <c r="D7" s="1" t="s">
        <v>202</v>
      </c>
      <c r="E7" s="1" t="s">
        <v>203</v>
      </c>
      <c r="F7" s="1" t="s">
        <v>170</v>
      </c>
      <c r="G7" s="1" t="s">
        <v>204</v>
      </c>
    </row>
    <row r="8" spans="1:7" x14ac:dyDescent="0.25">
      <c r="A8" s="1" t="s">
        <v>36</v>
      </c>
      <c r="B8" s="1" t="s">
        <v>135</v>
      </c>
      <c r="C8" s="1" t="s">
        <v>167</v>
      </c>
      <c r="D8" s="1" t="s">
        <v>202</v>
      </c>
      <c r="E8" s="1" t="s">
        <v>203</v>
      </c>
      <c r="F8" s="1" t="s">
        <v>205</v>
      </c>
      <c r="G8" s="1" t="s">
        <v>204</v>
      </c>
    </row>
    <row r="9" spans="1:7" x14ac:dyDescent="0.25">
      <c r="A9" s="1" t="s">
        <v>37</v>
      </c>
      <c r="B9" s="1" t="s">
        <v>135</v>
      </c>
      <c r="C9" s="1" t="s">
        <v>167</v>
      </c>
      <c r="D9" s="1" t="s">
        <v>202</v>
      </c>
      <c r="E9" s="1" t="s">
        <v>203</v>
      </c>
      <c r="F9" s="1" t="s">
        <v>205</v>
      </c>
      <c r="G9" s="1" t="s">
        <v>204</v>
      </c>
    </row>
    <row r="10" spans="1:7" x14ac:dyDescent="0.25">
      <c r="A10" s="1" t="s">
        <v>38</v>
      </c>
      <c r="B10" s="1" t="s">
        <v>135</v>
      </c>
      <c r="C10" s="1" t="s">
        <v>167</v>
      </c>
      <c r="D10" s="1" t="s">
        <v>202</v>
      </c>
      <c r="E10" s="1" t="s">
        <v>203</v>
      </c>
      <c r="F10" s="1" t="s">
        <v>170</v>
      </c>
      <c r="G10" s="1" t="s">
        <v>204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GL_Balances</vt:lpstr>
      <vt:lpstr>Bank_Recon</vt:lpstr>
      <vt:lpstr>AR_Recon</vt:lpstr>
      <vt:lpstr>AP_Recon</vt:lpstr>
      <vt:lpstr>Prepayments_Recon</vt:lpstr>
      <vt:lpstr>Fixed_Assets_Recon</vt:lpstr>
      <vt:lpstr>Accruals_Recon</vt:lpstr>
      <vt:lpstr>Investigation_Log</vt:lpstr>
      <vt:lpstr>Correcting_JEs</vt:lpstr>
      <vt:lpstr>Reconciliation_Summary</vt:lpstr>
      <vt:lpstr>Sign_Off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Stasaityte</cp:lastModifiedBy>
  <dcterms:created xsi:type="dcterms:W3CDTF">2026-10-08T08:39:54Z</dcterms:created>
  <dcterms:modified xsi:type="dcterms:W3CDTF">2026-10-08T08:41:41Z</dcterms:modified>
</cp:coreProperties>
</file>