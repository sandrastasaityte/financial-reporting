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tity_GL" sheetId="2" state="visible" r:id="rId2"/>
    <sheet xmlns:r="http://schemas.openxmlformats.org/officeDocument/2006/relationships" name="IC_Transactions" sheetId="3" state="visible" r:id="rId3"/>
    <sheet xmlns:r="http://schemas.openxmlformats.org/officeDocument/2006/relationships" name="IC_Recon" sheetId="4" state="visible" r:id="rId4"/>
    <sheet xmlns:r="http://schemas.openxmlformats.org/officeDocument/2006/relationships" name="FX_Revaluation" sheetId="5" state="visible" r:id="rId5"/>
    <sheet xmlns:r="http://schemas.openxmlformats.org/officeDocument/2006/relationships" name="Elimination_JEs" sheetId="6" state="visible" r:id="rId6"/>
    <sheet xmlns:r="http://schemas.openxmlformats.org/officeDocument/2006/relationships" name="UK_P&amp;L" sheetId="7" state="visible" r:id="rId7"/>
    <sheet xmlns:r="http://schemas.openxmlformats.org/officeDocument/2006/relationships" name="India_P&amp;L" sheetId="8" state="visible" r:id="rId8"/>
    <sheet xmlns:r="http://schemas.openxmlformats.org/officeDocument/2006/relationships" name="UK_BS" sheetId="9" state="visible" r:id="rId9"/>
    <sheet xmlns:r="http://schemas.openxmlformats.org/officeDocument/2006/relationships" name="India_BS" sheetId="10" state="visible" r:id="rId10"/>
    <sheet xmlns:r="http://schemas.openxmlformats.org/officeDocument/2006/relationships" name="Consolidated_P&amp;L" sheetId="11" state="visible" r:id="rId11"/>
    <sheet xmlns:r="http://schemas.openxmlformats.org/officeDocument/2006/relationships" name="Consolidated_BS" sheetId="12" state="visible" r:id="rId12"/>
    <sheet xmlns:r="http://schemas.openxmlformats.org/officeDocument/2006/relationships" name="Consolidation_Checklist" sheetId="13" state="visible" r:id="rId13"/>
    <sheet xmlns:r="http://schemas.openxmlformats.org/officeDocument/2006/relationships" name="Management_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EntityGLTable" displayName="EntityGLTable" ref="A3:F18" headerRowCount="1">
  <autoFilter ref="A3:F18"/>
  <tableColumns count="6">
    <tableColumn id="1" name="Entity"/>
    <tableColumn id="2" name="Account"/>
    <tableColumn id="3" name="Category"/>
    <tableColumn id="4" name="Debit"/>
    <tableColumn id="5" name="Credit"/>
    <tableColumn id="6" name="Net Balance GBP"/>
  </tableColumns>
  <tableStyleInfo name="TableStyleMedium2" showRowStripes="1"/>
</table>
</file>

<file path=xl/tables/table2.xml><?xml version="1.0" encoding="utf-8"?>
<table xmlns="http://schemas.openxmlformats.org/spreadsheetml/2006/main" id="2" name="ICTable" displayName="ICTable" ref="A3:M6" headerRowCount="1">
  <autoFilter ref="A3:M6"/>
  <tableColumns count="13">
    <tableColumn id="1" name="IC ID"/>
    <tableColumn id="2" name="Date"/>
    <tableColumn id="3" name="Seller"/>
    <tableColumn id="4" name="Buyer"/>
    <tableColumn id="5" name="Transaction Type"/>
    <tableColumn id="6" name="Invoice / Principal"/>
    <tableColumn id="7" name="Currency"/>
    <tableColumn id="8" name="Amount"/>
    <tableColumn id="9" name="GBP Rate"/>
    <tableColumn id="10" name="GBP Equivalent"/>
    <tableColumn id="11" name="Buyer Recorded GBP"/>
    <tableColumn id="12" name="Difference"/>
    <tableColumn id="13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Project 3 — Group Holding Company &amp; Intercompany Accounting</t>
        </is>
      </c>
      <c r="B1" s="2" t="n"/>
      <c r="C1" s="2" t="n"/>
      <c r="D1" s="2" t="n"/>
      <c r="E1" s="2" t="n"/>
      <c r="F1" s="2" t="n"/>
    </row>
    <row r="2">
      <c r="A2" s="3" t="inlineStr">
        <is>
          <t>Simulated UK/India group accounting and consolidation exercise.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Group</t>
        </is>
      </c>
      <c r="B4" s="2" t="inlineStr">
        <is>
          <t>AVERRA Holdings Group (simulated)</t>
        </is>
      </c>
      <c r="C4" s="2" t="n"/>
      <c r="D4" s="2" t="n"/>
      <c r="E4" s="2" t="n"/>
      <c r="F4" s="2" t="n"/>
    </row>
    <row r="5">
      <c r="A5" s="4" t="inlineStr">
        <is>
          <t>Parent</t>
        </is>
      </c>
      <c r="B5" s="2" t="inlineStr">
        <is>
          <t>AVERRA Holdings Ltd — UK</t>
        </is>
      </c>
      <c r="C5" s="2" t="n"/>
      <c r="D5" s="2" t="n"/>
      <c r="E5" s="2" t="n"/>
      <c r="F5" s="2" t="n"/>
    </row>
    <row r="6">
      <c r="A6" s="4" t="inlineStr">
        <is>
          <t>Subsidiary 1</t>
        </is>
      </c>
      <c r="B6" s="2" t="inlineStr">
        <is>
          <t>AVERRA UK Services Ltd — UK</t>
        </is>
      </c>
      <c r="C6" s="2" t="n"/>
      <c r="D6" s="2" t="n"/>
      <c r="E6" s="2" t="n"/>
      <c r="F6" s="2" t="n"/>
    </row>
    <row r="7">
      <c r="A7" s="4" t="inlineStr">
        <is>
          <t>Subsidiary 2</t>
        </is>
      </c>
      <c r="B7" s="2" t="inlineStr">
        <is>
          <t>AVERRA India Services Pvt Ltd — India</t>
        </is>
      </c>
      <c r="C7" s="2" t="n"/>
      <c r="D7" s="2" t="n"/>
      <c r="E7" s="2" t="n"/>
      <c r="F7" s="2" t="n"/>
    </row>
    <row r="8">
      <c r="A8" s="4" t="inlineStr">
        <is>
          <t>Reporting date</t>
        </is>
      </c>
      <c r="B8" s="2" t="inlineStr">
        <is>
          <t>30 September 2026</t>
        </is>
      </c>
      <c r="C8" s="2" t="n"/>
      <c r="D8" s="2" t="n"/>
      <c r="E8" s="2" t="n"/>
      <c r="F8" s="2" t="n"/>
    </row>
    <row r="9">
      <c r="A9" s="4" t="inlineStr">
        <is>
          <t>Presentation currency</t>
        </is>
      </c>
      <c r="B9" s="2" t="inlineStr">
        <is>
          <t>GBP</t>
        </is>
      </c>
      <c r="C9" s="2" t="n"/>
      <c r="D9" s="2" t="n"/>
      <c r="E9" s="2" t="n"/>
      <c r="F9" s="2" t="n"/>
    </row>
    <row r="10">
      <c r="A10" s="4" t="inlineStr">
        <is>
          <t>Purpose</t>
        </is>
      </c>
      <c r="B10" s="2" t="inlineStr">
        <is>
          <t>Demonstrate group accounting, intercompany reconciliation, FX, elimination entries and consolidated reporting.</t>
        </is>
      </c>
      <c r="C10" s="2" t="n"/>
      <c r="D10" s="2" t="n"/>
      <c r="E10" s="2" t="n"/>
      <c r="F10" s="2" t="n"/>
    </row>
    <row r="11">
      <c r="A11" s="4" t="inlineStr">
        <is>
          <t>Interview value</t>
        </is>
      </c>
      <c r="B11" s="2" t="inlineStr">
        <is>
          <t>Shows ability to move from entity-level accounting to group-level reporting and investigate intercompany differences.</t>
        </is>
      </c>
      <c r="C11" s="2" t="n"/>
      <c r="D11" s="2" t="n"/>
      <c r="E11" s="2" t="n"/>
      <c r="F11" s="2" t="n"/>
    </row>
    <row r="12">
      <c r="A12" s="4" t="inlineStr">
        <is>
          <t>Important</t>
        </is>
      </c>
      <c r="B12" s="2" t="inlineStr">
        <is>
          <t>All entities, transactions and financial data are simulated for portfolio/interview purposes.</t>
        </is>
      </c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5" t="inlineStr">
        <is>
          <t>Workflow</t>
        </is>
      </c>
      <c r="B15" s="2" t="n"/>
      <c r="C15" s="2" t="n"/>
      <c r="D15" s="2" t="n"/>
      <c r="E15" s="2" t="n"/>
      <c r="F15" s="2" t="n"/>
    </row>
    <row r="16">
      <c r="A16" s="2" t="inlineStr">
        <is>
          <t>1. Review entity-level GL balances.</t>
        </is>
      </c>
      <c r="B16" s="2" t="n"/>
      <c r="C16" s="2" t="n"/>
      <c r="D16" s="2" t="n"/>
      <c r="E16" s="2" t="n"/>
      <c r="F16" s="2" t="n"/>
    </row>
    <row r="17">
      <c r="A17" s="2" t="inlineStr">
        <is>
          <t>2. Identify intercompany transactions.</t>
        </is>
      </c>
      <c r="B17" s="2" t="n"/>
      <c r="C17" s="2" t="n"/>
      <c r="D17" s="2" t="n"/>
      <c r="E17" s="2" t="n"/>
      <c r="F17" s="2" t="n"/>
    </row>
    <row r="18">
      <c r="A18" s="2" t="inlineStr">
        <is>
          <t>3. Reconcile both sides of each intercompany balance.</t>
        </is>
      </c>
      <c r="B18" s="2" t="n"/>
      <c r="C18" s="2" t="n"/>
      <c r="D18" s="2" t="n"/>
      <c r="E18" s="2" t="n"/>
      <c r="F18" s="2" t="n"/>
    </row>
    <row r="19">
      <c r="A19" s="2" t="inlineStr">
        <is>
          <t>4. Investigate the planted £1,500 mismatch.</t>
        </is>
      </c>
      <c r="B19" s="2" t="n"/>
      <c r="C19" s="2" t="n"/>
      <c r="D19" s="2" t="n"/>
      <c r="E19" s="2" t="n"/>
      <c r="F19" s="2" t="n"/>
    </row>
    <row r="20">
      <c r="A20" s="2" t="inlineStr">
        <is>
          <t>5. Revalue the India GBP intercompany monetary balance.</t>
        </is>
      </c>
      <c r="B20" s="2" t="n"/>
      <c r="C20" s="2" t="n"/>
      <c r="D20" s="2" t="n"/>
      <c r="E20" s="2" t="n"/>
      <c r="F20" s="2" t="n"/>
    </row>
    <row r="21">
      <c r="A21" s="2" t="inlineStr">
        <is>
          <t>6. Prepare elimination journals.</t>
        </is>
      </c>
      <c r="B21" s="2" t="n"/>
      <c r="C21" s="2" t="n"/>
      <c r="D21" s="2" t="n"/>
      <c r="E21" s="2" t="n"/>
      <c r="F21" s="2" t="n"/>
    </row>
    <row r="22">
      <c r="A22" s="2" t="inlineStr">
        <is>
          <t>7. Prepare consolidated P&amp;L and Balance Sheet.</t>
        </is>
      </c>
      <c r="B22" s="2" t="n"/>
      <c r="C22" s="2" t="n"/>
      <c r="D22" s="2" t="n"/>
      <c r="E22" s="2" t="n"/>
      <c r="F22" s="2" t="n"/>
    </row>
    <row r="23">
      <c r="A23" s="2" t="inlineStr">
        <is>
          <t>8. Complete consolidation checklist and management review.</t>
        </is>
      </c>
      <c r="B23" s="2" t="n"/>
      <c r="C23" s="2" t="n"/>
      <c r="D23" s="2" t="n"/>
      <c r="E23" s="2" t="n"/>
      <c r="F23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5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Entity-Level GL Summary</t>
        </is>
      </c>
      <c r="B1" s="2" t="n"/>
      <c r="C1" s="2" t="n"/>
      <c r="D1" s="2" t="n"/>
      <c r="E1" s="2" t="n"/>
      <c r="F1" s="2" t="n"/>
    </row>
    <row r="2">
      <c r="A2" s="3" t="inlineStr">
        <is>
          <t>Closing balances before consolidation</t>
        </is>
      </c>
      <c r="B2" s="2" t="n"/>
      <c r="C2" s="2" t="n"/>
      <c r="D2" s="2" t="n"/>
      <c r="E2" s="2" t="n"/>
      <c r="F2" s="2" t="n"/>
    </row>
    <row r="3">
      <c r="A3" s="6" t="inlineStr">
        <is>
          <t>Entity</t>
        </is>
      </c>
      <c r="B3" s="6" t="inlineStr">
        <is>
          <t>Account</t>
        </is>
      </c>
      <c r="C3" s="6" t="inlineStr">
        <is>
          <t>Category</t>
        </is>
      </c>
      <c r="D3" s="6" t="inlineStr">
        <is>
          <t>Debit</t>
        </is>
      </c>
      <c r="E3" s="6" t="inlineStr">
        <is>
          <t>Credit</t>
        </is>
      </c>
      <c r="F3" s="6" t="inlineStr">
        <is>
          <t>Net Balance GBP</t>
        </is>
      </c>
    </row>
    <row r="4">
      <c r="A4" s="2" t="inlineStr">
        <is>
          <t>AVERRA Holdings Ltd</t>
        </is>
      </c>
      <c r="B4" s="2" t="inlineStr">
        <is>
          <t>Investment in UK Services</t>
        </is>
      </c>
      <c r="C4" s="2" t="inlineStr">
        <is>
          <t>BS</t>
        </is>
      </c>
      <c r="D4" s="7" t="n">
        <v>80000</v>
      </c>
      <c r="E4" s="7" t="n">
        <v>0</v>
      </c>
      <c r="F4" s="7">
        <f>D4-E4</f>
        <v/>
      </c>
    </row>
    <row r="5">
      <c r="A5" s="2" t="inlineStr">
        <is>
          <t>AVERRA Holdings Ltd</t>
        </is>
      </c>
      <c r="B5" s="2" t="inlineStr">
        <is>
          <t>Investment in India Services</t>
        </is>
      </c>
      <c r="C5" s="2" t="inlineStr">
        <is>
          <t>BS</t>
        </is>
      </c>
      <c r="D5" s="7" t="n">
        <v>50000</v>
      </c>
      <c r="E5" s="7" t="n">
        <v>0</v>
      </c>
      <c r="F5" s="7">
        <f>D5-E5</f>
        <v/>
      </c>
    </row>
    <row r="6">
      <c r="A6" s="2" t="inlineStr">
        <is>
          <t>AVERRA Holdings Ltd</t>
        </is>
      </c>
      <c r="B6" s="2" t="inlineStr">
        <is>
          <t>Bank</t>
        </is>
      </c>
      <c r="C6" s="2" t="inlineStr">
        <is>
          <t>BS</t>
        </is>
      </c>
      <c r="D6" s="7" t="n">
        <v>40000</v>
      </c>
      <c r="E6" s="7" t="n">
        <v>0</v>
      </c>
      <c r="F6" s="7">
        <f>D6-E6</f>
        <v/>
      </c>
    </row>
    <row r="7">
      <c r="A7" s="2" t="inlineStr">
        <is>
          <t>AVERRA Holdings Ltd</t>
        </is>
      </c>
      <c r="B7" s="2" t="inlineStr">
        <is>
          <t>Share Capital</t>
        </is>
      </c>
      <c r="C7" s="2" t="inlineStr">
        <is>
          <t>BS</t>
        </is>
      </c>
      <c r="D7" s="7" t="n">
        <v>0</v>
      </c>
      <c r="E7" s="7" t="n">
        <v>150000</v>
      </c>
      <c r="F7" s="7">
        <f>D7-E7</f>
        <v/>
      </c>
    </row>
    <row r="8">
      <c r="A8" s="2" t="inlineStr">
        <is>
          <t>AVERRA UK Services Ltd</t>
        </is>
      </c>
      <c r="B8" s="2" t="inlineStr">
        <is>
          <t>Revenue</t>
        </is>
      </c>
      <c r="C8" s="2" t="inlineStr">
        <is>
          <t>P&amp;L</t>
        </is>
      </c>
      <c r="D8" s="7" t="n">
        <v>0</v>
      </c>
      <c r="E8" s="7" t="n">
        <v>120000</v>
      </c>
      <c r="F8" s="7">
        <f>D8-E8</f>
        <v/>
      </c>
    </row>
    <row r="9">
      <c r="A9" s="2" t="inlineStr">
        <is>
          <t>AVERRA UK Services Ltd</t>
        </is>
      </c>
      <c r="B9" s="2" t="inlineStr">
        <is>
          <t>Cost of Sales</t>
        </is>
      </c>
      <c r="C9" s="2" t="inlineStr">
        <is>
          <t>P&amp;L</t>
        </is>
      </c>
      <c r="D9" s="7" t="n">
        <v>50000</v>
      </c>
      <c r="E9" s="7" t="n">
        <v>0</v>
      </c>
      <c r="F9" s="7">
        <f>D9-E9</f>
        <v/>
      </c>
    </row>
    <row r="10">
      <c r="A10" s="2" t="inlineStr">
        <is>
          <t>AVERRA UK Services Ltd</t>
        </is>
      </c>
      <c r="B10" s="2" t="inlineStr">
        <is>
          <t>Operating Expenses</t>
        </is>
      </c>
      <c r="C10" s="2" t="inlineStr">
        <is>
          <t>P&amp;L</t>
        </is>
      </c>
      <c r="D10" s="7" t="n">
        <v>30000</v>
      </c>
      <c r="E10" s="7" t="n">
        <v>0</v>
      </c>
      <c r="F10" s="7">
        <f>D10-E10</f>
        <v/>
      </c>
    </row>
    <row r="11">
      <c r="A11" s="2" t="inlineStr">
        <is>
          <t>AVERRA UK Services Ltd</t>
        </is>
      </c>
      <c r="B11" s="2" t="inlineStr">
        <is>
          <t>Intercompany Payable — India</t>
        </is>
      </c>
      <c r="C11" s="2" t="inlineStr">
        <is>
          <t>BS</t>
        </is>
      </c>
      <c r="D11" s="7" t="n">
        <v>0</v>
      </c>
      <c r="E11" s="7" t="n">
        <v>25000</v>
      </c>
      <c r="F11" s="7">
        <f>D11-E11</f>
        <v/>
      </c>
    </row>
    <row r="12">
      <c r="A12" s="2" t="inlineStr">
        <is>
          <t>AVERRA UK Services Ltd</t>
        </is>
      </c>
      <c r="B12" s="2" t="inlineStr">
        <is>
          <t>Bank</t>
        </is>
      </c>
      <c r="C12" s="2" t="inlineStr">
        <is>
          <t>BS</t>
        </is>
      </c>
      <c r="D12" s="7" t="n">
        <v>65000</v>
      </c>
      <c r="E12" s="7" t="n">
        <v>0</v>
      </c>
      <c r="F12" s="7">
        <f>D12-E12</f>
        <v/>
      </c>
    </row>
    <row r="13">
      <c r="A13" s="2" t="inlineStr">
        <is>
          <t>AVERRA UK Services Ltd</t>
        </is>
      </c>
      <c r="B13" s="2" t="inlineStr">
        <is>
          <t>Trade Receivables</t>
        </is>
      </c>
      <c r="C13" s="2" t="inlineStr">
        <is>
          <t>BS</t>
        </is>
      </c>
      <c r="D13" s="7" t="n">
        <v>30000</v>
      </c>
      <c r="E13" s="7" t="n">
        <v>0</v>
      </c>
      <c r="F13" s="7">
        <f>D13-E13</f>
        <v/>
      </c>
    </row>
    <row r="14">
      <c r="A14" s="2" t="inlineStr">
        <is>
          <t>AVERRA India Services Pvt Ltd</t>
        </is>
      </c>
      <c r="B14" s="2" t="inlineStr">
        <is>
          <t>Revenue</t>
        </is>
      </c>
      <c r="C14" s="2" t="inlineStr">
        <is>
          <t>P&amp;L</t>
        </is>
      </c>
      <c r="D14" s="7" t="n">
        <v>0</v>
      </c>
      <c r="E14" s="7" t="n">
        <v>85000</v>
      </c>
      <c r="F14" s="7">
        <f>D14-E14</f>
        <v/>
      </c>
    </row>
    <row r="15">
      <c r="A15" s="2" t="inlineStr">
        <is>
          <t>AVERRA India Services Pvt Ltd</t>
        </is>
      </c>
      <c r="B15" s="2" t="inlineStr">
        <is>
          <t>Operating Expenses</t>
        </is>
      </c>
      <c r="C15" s="2" t="inlineStr">
        <is>
          <t>P&amp;L</t>
        </is>
      </c>
      <c r="D15" s="7" t="n">
        <v>50000</v>
      </c>
      <c r="E15" s="7" t="n">
        <v>0</v>
      </c>
      <c r="F15" s="7">
        <f>D15-E15</f>
        <v/>
      </c>
    </row>
    <row r="16">
      <c r="A16" s="2" t="inlineStr">
        <is>
          <t>AVERRA India Services Pvt Ltd</t>
        </is>
      </c>
      <c r="B16" s="2" t="inlineStr">
        <is>
          <t>Intercompany Receivable — UK</t>
        </is>
      </c>
      <c r="C16" s="2" t="inlineStr">
        <is>
          <t>BS</t>
        </is>
      </c>
      <c r="D16" s="7" t="n">
        <v>25000</v>
      </c>
      <c r="E16" s="7" t="n">
        <v>0</v>
      </c>
      <c r="F16" s="7">
        <f>D16-E16</f>
        <v/>
      </c>
    </row>
    <row r="17">
      <c r="A17" s="2" t="inlineStr">
        <is>
          <t>AVERRA India Services Pvt Ltd</t>
        </is>
      </c>
      <c r="B17" s="2" t="inlineStr">
        <is>
          <t>Intercompany Loan Payable</t>
        </is>
      </c>
      <c r="C17" s="2" t="inlineStr">
        <is>
          <t>BS</t>
        </is>
      </c>
      <c r="D17" s="7" t="n">
        <v>0</v>
      </c>
      <c r="E17" s="7" t="n">
        <v>10000</v>
      </c>
      <c r="F17" s="7">
        <f>D17-E17</f>
        <v/>
      </c>
    </row>
    <row r="18">
      <c r="A18" s="2" t="inlineStr">
        <is>
          <t>AVERRA India Services Pvt Ltd</t>
        </is>
      </c>
      <c r="B18" s="2" t="inlineStr">
        <is>
          <t>Bank</t>
        </is>
      </c>
      <c r="C18" s="2" t="inlineStr">
        <is>
          <t>BS</t>
        </is>
      </c>
      <c r="D18" s="7" t="n">
        <v>30000</v>
      </c>
      <c r="E18" s="7" t="n">
        <v>0</v>
      </c>
      <c r="F18" s="7">
        <f>D18-E18</f>
        <v/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28" customWidth="1" min="4" max="4"/>
    <col width="25" customWidth="1" min="5" max="5"/>
    <col width="18" customWidth="1" min="6" max="6"/>
    <col width="12" customWidth="1" min="7" max="7"/>
    <col width="15" customWidth="1" min="8" max="8"/>
    <col width="13" customWidth="1" min="9" max="9"/>
    <col width="18" customWidth="1" min="10" max="10"/>
    <col width="20" customWidth="1" min="11" max="11"/>
    <col width="15" customWidth="1" min="12" max="12"/>
    <col width="16" customWidth="1" min="13" max="13"/>
  </cols>
  <sheetData>
    <row r="1">
      <c r="A1" s="1" t="inlineStr">
        <is>
          <t>Intercompany Transactions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Transactions between group entities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6" t="inlineStr">
        <is>
          <t>IC ID</t>
        </is>
      </c>
      <c r="B3" s="6" t="inlineStr">
        <is>
          <t>Date</t>
        </is>
      </c>
      <c r="C3" s="6" t="inlineStr">
        <is>
          <t>Seller</t>
        </is>
      </c>
      <c r="D3" s="6" t="inlineStr">
        <is>
          <t>Buyer</t>
        </is>
      </c>
      <c r="E3" s="6" t="inlineStr">
        <is>
          <t>Transaction Type</t>
        </is>
      </c>
      <c r="F3" s="6" t="inlineStr">
        <is>
          <t>Invoice / Principal</t>
        </is>
      </c>
      <c r="G3" s="6" t="inlineStr">
        <is>
          <t>Currency</t>
        </is>
      </c>
      <c r="H3" s="6" t="inlineStr">
        <is>
          <t>Amount</t>
        </is>
      </c>
      <c r="I3" s="6" t="inlineStr">
        <is>
          <t>GBP Rate</t>
        </is>
      </c>
      <c r="J3" s="6" t="inlineStr">
        <is>
          <t>GBP Equivalent</t>
        </is>
      </c>
      <c r="K3" s="6" t="inlineStr">
        <is>
          <t>Buyer Recorded GBP</t>
        </is>
      </c>
      <c r="L3" s="6" t="inlineStr">
        <is>
          <t>Difference</t>
        </is>
      </c>
      <c r="M3" s="6" t="inlineStr">
        <is>
          <t>Status</t>
        </is>
      </c>
    </row>
    <row r="4">
      <c r="A4" s="2" t="inlineStr">
        <is>
          <t>IC001</t>
        </is>
      </c>
      <c r="B4" s="2" t="inlineStr">
        <is>
          <t>05/09/2026</t>
        </is>
      </c>
      <c r="C4" s="2" t="inlineStr">
        <is>
          <t>AVERRA India Services Pvt Ltd</t>
        </is>
      </c>
      <c r="D4" s="2" t="inlineStr">
        <is>
          <t>AVERRA UK Services Ltd</t>
        </is>
      </c>
      <c r="E4" s="2" t="inlineStr">
        <is>
          <t>Management services</t>
        </is>
      </c>
      <c r="F4" s="2" t="inlineStr">
        <is>
          <t>IND-SEP-01</t>
        </is>
      </c>
      <c r="G4" s="2" t="inlineStr">
        <is>
          <t>INR</t>
        </is>
      </c>
      <c r="H4" s="7" t="n">
        <v>2500000</v>
      </c>
      <c r="I4" s="7" t="n">
        <v>0.0095</v>
      </c>
      <c r="J4" s="7">
        <f>H4*I4</f>
        <v/>
      </c>
      <c r="K4" s="7" t="n">
        <v>23750</v>
      </c>
      <c r="L4" s="7">
        <f>J4-K4</f>
        <v/>
      </c>
      <c r="M4" s="2">
        <f>IF(ABS(L4)&lt;0.01,"AGREED","INVESTIGATE")</f>
        <v/>
      </c>
    </row>
    <row r="5">
      <c r="A5" s="2" t="inlineStr">
        <is>
          <t>IC002</t>
        </is>
      </c>
      <c r="B5" s="2" t="inlineStr">
        <is>
          <t>10/09/2026</t>
        </is>
      </c>
      <c r="C5" s="2" t="inlineStr">
        <is>
          <t>AVERRA Holdings Ltd</t>
        </is>
      </c>
      <c r="D5" s="2" t="inlineStr">
        <is>
          <t>AVERRA India Services Pvt Ltd</t>
        </is>
      </c>
      <c r="E5" s="2" t="inlineStr">
        <is>
          <t>Intercompany loan</t>
        </is>
      </c>
      <c r="F5" s="2" t="inlineStr">
        <is>
          <t>LOAN-01</t>
        </is>
      </c>
      <c r="G5" s="2" t="inlineStr">
        <is>
          <t>GBP</t>
        </is>
      </c>
      <c r="H5" s="7" t="n">
        <v>10000</v>
      </c>
      <c r="I5" s="7" t="n">
        <v>1</v>
      </c>
      <c r="J5" s="7">
        <f>H5*I5</f>
        <v/>
      </c>
      <c r="K5" s="7" t="n">
        <v>10000</v>
      </c>
      <c r="L5" s="7">
        <f>J5-K5</f>
        <v/>
      </c>
      <c r="M5" s="2">
        <f>IF(ABS(L5)&lt;0.01,"AGREED","INVESTIGATE")</f>
        <v/>
      </c>
    </row>
    <row r="6">
      <c r="A6" s="2" t="inlineStr">
        <is>
          <t>IC003</t>
        </is>
      </c>
      <c r="B6" s="2" t="inlineStr">
        <is>
          <t>20/09/2026</t>
        </is>
      </c>
      <c r="C6" s="2" t="inlineStr">
        <is>
          <t>AVERRA India Services Pvt Ltd</t>
        </is>
      </c>
      <c r="D6" s="2" t="inlineStr">
        <is>
          <t>AVERRA UK Services Ltd</t>
        </is>
      </c>
      <c r="E6" s="2" t="inlineStr">
        <is>
          <t>Additional management services</t>
        </is>
      </c>
      <c r="F6" s="2" t="inlineStr">
        <is>
          <t>IND-SEP-02</t>
        </is>
      </c>
      <c r="G6" s="2" t="inlineStr">
        <is>
          <t>INR</t>
        </is>
      </c>
      <c r="H6" s="7" t="n">
        <v>500000</v>
      </c>
      <c r="I6" s="7" t="n">
        <v>0.0095</v>
      </c>
      <c r="J6" s="7">
        <f>H6*I6</f>
        <v/>
      </c>
      <c r="K6" s="7" t="n">
        <v>6250</v>
      </c>
      <c r="L6" s="7">
        <f>J6-K6</f>
        <v/>
      </c>
      <c r="M6" s="2">
        <f>IF(ABS(L6)&lt;0.01,"AGREED","INVESTIGATE")</f>
        <v/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16" customWidth="1" min="4" max="4"/>
    <col width="42" customWidth="1" min="5" max="5"/>
    <col width="42" customWidth="1" min="6" max="6"/>
    <col width="18" customWidth="1" min="7" max="7"/>
  </cols>
  <sheetData>
    <row r="1">
      <c r="A1" s="1" t="inlineStr">
        <is>
          <t>Intercompany Reconciliation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Both sides of group balances must agree before consolidation</t>
        </is>
      </c>
      <c r="B2" s="2" t="n"/>
      <c r="C2" s="2" t="n"/>
      <c r="D2" s="2" t="n"/>
      <c r="E2" s="2" t="n"/>
      <c r="F2" s="2" t="n"/>
      <c r="G2" s="2" t="n"/>
    </row>
    <row r="3">
      <c r="A3" s="6" t="inlineStr">
        <is>
          <t>IC Relationship</t>
        </is>
      </c>
      <c r="B3" s="6" t="inlineStr">
        <is>
          <t>UK / Parent Balance</t>
        </is>
      </c>
      <c r="C3" s="6" t="inlineStr">
        <is>
          <t>India Balance</t>
        </is>
      </c>
      <c r="D3" s="6" t="inlineStr">
        <is>
          <t>Difference</t>
        </is>
      </c>
      <c r="E3" s="6" t="inlineStr">
        <is>
          <t>Root Cause</t>
        </is>
      </c>
      <c r="F3" s="6" t="inlineStr">
        <is>
          <t>Action</t>
        </is>
      </c>
      <c r="G3" s="6" t="inlineStr">
        <is>
          <t>Status</t>
        </is>
      </c>
    </row>
    <row r="4">
      <c r="A4" s="2" t="inlineStr">
        <is>
          <t>UK Services ↔ India Services</t>
        </is>
      </c>
      <c r="B4" s="2" t="n">
        <v>25000</v>
      </c>
      <c r="C4" s="2" t="n">
        <v>25000</v>
      </c>
      <c r="D4" s="7">
        <f>B4-C4</f>
        <v/>
      </c>
      <c r="E4" s="2" t="inlineStr">
        <is>
          <t>IC001 agrees</t>
        </is>
      </c>
      <c r="F4" s="2" t="inlineStr">
        <is>
          <t>Eliminate both sides</t>
        </is>
      </c>
      <c r="G4" s="2" t="inlineStr">
        <is>
          <t>Reconciled</t>
        </is>
      </c>
    </row>
    <row r="5">
      <c r="A5" s="2" t="inlineStr">
        <is>
          <t>UK Services ↔ India Services — IC003</t>
        </is>
      </c>
      <c r="B5" s="2" t="n">
        <v>6250</v>
      </c>
      <c r="C5" s="2" t="n">
        <v>4750</v>
      </c>
      <c r="D5" s="7">
        <f>B5-C5</f>
        <v/>
      </c>
      <c r="E5" s="2" t="inlineStr">
        <is>
          <t>Buyer used incorrect GBP equivalent</t>
        </is>
      </c>
      <c r="F5" s="2" t="inlineStr">
        <is>
          <t>Post correcting entry / align invoice value</t>
        </is>
      </c>
      <c r="G5" s="2" t="inlineStr">
        <is>
          <t>Investigate</t>
        </is>
      </c>
    </row>
    <row r="6">
      <c r="A6" s="2" t="inlineStr">
        <is>
          <t>Holdings ↔ India loan</t>
        </is>
      </c>
      <c r="B6" s="2" t="n">
        <v>10000</v>
      </c>
      <c r="C6" s="2" t="n">
        <v>10000</v>
      </c>
      <c r="D6" s="7">
        <f>B6-C6</f>
        <v/>
      </c>
      <c r="E6" s="2" t="inlineStr">
        <is>
          <t>Loan principal agrees</t>
        </is>
      </c>
      <c r="F6" s="2" t="inlineStr">
        <is>
          <t>Eliminate loan receivable/payable</t>
        </is>
      </c>
      <c r="G6" s="2" t="inlineStr">
        <is>
          <t>Reconciled</t>
        </is>
      </c>
    </row>
  </sheetData>
  <mergeCells count="2">
    <mergeCell ref="A2:F2"/>
    <mergeCell ref="A1:F1"/>
  </mergeCells>
  <conditionalFormatting sqref="D4:D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42" customWidth="1" min="8" max="8"/>
  </cols>
  <sheetData>
    <row r="1">
      <c r="A1" s="1" t="inlineStr">
        <is>
          <t>FX Revaluation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India intercompany monetary balance at period-end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Item</t>
        </is>
      </c>
      <c r="B3" s="6" t="inlineStr">
        <is>
          <t>INR Balance</t>
        </is>
      </c>
      <c r="C3" s="6" t="inlineStr">
        <is>
          <t>Transaction Rate GBP</t>
        </is>
      </c>
      <c r="D3" s="6" t="inlineStr">
        <is>
          <t>Closing Rate GBP</t>
        </is>
      </c>
      <c r="E3" s="6" t="inlineStr">
        <is>
          <t>Initial GBP</t>
        </is>
      </c>
      <c r="F3" s="6" t="inlineStr">
        <is>
          <t>Closing GBP</t>
        </is>
      </c>
      <c r="G3" s="6" t="inlineStr">
        <is>
          <t>FX Gain/(Loss)</t>
        </is>
      </c>
      <c r="H3" s="6" t="inlineStr">
        <is>
          <t>Treatment</t>
        </is>
      </c>
    </row>
    <row r="4">
      <c r="A4" s="2" t="inlineStr">
        <is>
          <t>IC003 management fee</t>
        </is>
      </c>
      <c r="B4" s="7" t="n">
        <v>500000</v>
      </c>
      <c r="C4" s="7" t="n">
        <v>0.0095</v>
      </c>
      <c r="D4" s="7" t="n">
        <v>0.0092</v>
      </c>
      <c r="E4" s="7">
        <f>B4*C4</f>
        <v/>
      </c>
      <c r="F4" s="7">
        <f>B4*D4</f>
        <v/>
      </c>
      <c r="G4" s="7">
        <f>F4-E4</f>
        <v/>
      </c>
      <c r="H4" s="2" t="inlineStr">
        <is>
          <t>Recognise FX loss if balance remains monetary</t>
        </is>
      </c>
    </row>
    <row r="5">
      <c r="A5" s="2" t="inlineStr">
        <is>
          <t>IC loan</t>
        </is>
      </c>
      <c r="B5" s="7" t="n">
        <v>0</v>
      </c>
      <c r="C5" s="7" t="n">
        <v>1</v>
      </c>
      <c r="D5" s="7" t="n">
        <v>1</v>
      </c>
      <c r="E5" s="7">
        <f>B5*C5</f>
        <v/>
      </c>
      <c r="F5" s="7">
        <f>B5*D5</f>
        <v/>
      </c>
      <c r="G5" s="7">
        <f>F5-E5</f>
        <v/>
      </c>
      <c r="H5" s="2" t="inlineStr">
        <is>
          <t>No FX movement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Consolidation Elimination Journals</t>
        </is>
      </c>
      <c r="B1" s="2" t="n"/>
      <c r="C1" s="2" t="n"/>
      <c r="D1" s="2" t="n"/>
      <c r="E1" s="2" t="n"/>
      <c r="F1" s="2" t="n"/>
    </row>
    <row r="2">
      <c r="A2" s="3" t="inlineStr">
        <is>
          <t>Remove intra-group balances and transactions from consolidated reporting</t>
        </is>
      </c>
      <c r="B2" s="2" t="n"/>
      <c r="C2" s="2" t="n"/>
      <c r="D2" s="2" t="n"/>
      <c r="E2" s="2" t="n"/>
      <c r="F2" s="2" t="n"/>
    </row>
    <row r="3">
      <c r="A3" s="6" t="inlineStr">
        <is>
          <t>JE</t>
        </is>
      </c>
      <c r="B3" s="6" t="inlineStr">
        <is>
          <t>Account</t>
        </is>
      </c>
      <c r="C3" s="6" t="inlineStr">
        <is>
          <t>Debit</t>
        </is>
      </c>
      <c r="D3" s="6" t="inlineStr">
        <is>
          <t>Credit</t>
        </is>
      </c>
      <c r="E3" s="6" t="inlineStr">
        <is>
          <t>Purpose</t>
        </is>
      </c>
      <c r="F3" s="2" t="n"/>
    </row>
    <row r="4">
      <c r="A4" s="2" t="inlineStr">
        <is>
          <t>ELIM-001</t>
        </is>
      </c>
      <c r="B4" s="2" t="inlineStr">
        <is>
          <t>Intercompany Payable — UK Services</t>
        </is>
      </c>
      <c r="C4" s="7" t="n">
        <v>25000</v>
      </c>
      <c r="D4" s="7" t="n">
        <v>0</v>
      </c>
      <c r="E4" s="2" t="inlineStr">
        <is>
          <t>Eliminate IC payable</t>
        </is>
      </c>
      <c r="F4" s="2" t="n"/>
    </row>
    <row r="5">
      <c r="A5" s="2" t="inlineStr">
        <is>
          <t>ELIM-001</t>
        </is>
      </c>
      <c r="B5" s="2" t="inlineStr">
        <is>
          <t>Intercompany Receivable — India Services</t>
        </is>
      </c>
      <c r="C5" s="7" t="n">
        <v>0</v>
      </c>
      <c r="D5" s="7" t="n">
        <v>25000</v>
      </c>
      <c r="E5" s="2" t="inlineStr">
        <is>
          <t>Eliminate IC receivable</t>
        </is>
      </c>
      <c r="F5" s="2" t="n"/>
    </row>
    <row r="6">
      <c r="A6" s="2" t="inlineStr">
        <is>
          <t>ELIM-002</t>
        </is>
      </c>
      <c r="B6" s="2" t="inlineStr">
        <is>
          <t>Intercompany Loan Payable — India</t>
        </is>
      </c>
      <c r="C6" s="7" t="n">
        <v>10000</v>
      </c>
      <c r="D6" s="7" t="n">
        <v>0</v>
      </c>
      <c r="E6" s="2" t="inlineStr">
        <is>
          <t>Eliminate group loan liability</t>
        </is>
      </c>
      <c r="F6" s="2" t="n"/>
    </row>
    <row r="7">
      <c r="A7" s="2" t="inlineStr">
        <is>
          <t>ELIM-002</t>
        </is>
      </c>
      <c r="B7" s="2" t="inlineStr">
        <is>
          <t>Intercompany Loan Receivable — Holdings</t>
        </is>
      </c>
      <c r="C7" s="7" t="n">
        <v>0</v>
      </c>
      <c r="D7" s="7" t="n">
        <v>10000</v>
      </c>
      <c r="E7" s="2" t="inlineStr">
        <is>
          <t>Eliminate group loan asset</t>
        </is>
      </c>
      <c r="F7" s="2" t="n"/>
    </row>
    <row r="8">
      <c r="A8" s="2" t="inlineStr">
        <is>
          <t>ELIM-003</t>
        </is>
      </c>
      <c r="B8" s="2" t="inlineStr">
        <is>
          <t>Intercompany Revenue</t>
        </is>
      </c>
      <c r="C8" s="7" t="n">
        <v>4750</v>
      </c>
      <c r="D8" s="7" t="n">
        <v>0</v>
      </c>
      <c r="E8" s="2" t="inlineStr">
        <is>
          <t>Eliminate management fee revenue</t>
        </is>
      </c>
      <c r="F8" s="2" t="n"/>
    </row>
    <row r="9">
      <c r="A9" s="2" t="inlineStr">
        <is>
          <t>ELIM-003</t>
        </is>
      </c>
      <c r="B9" s="2" t="inlineStr">
        <is>
          <t>Intercompany Cost / Expense</t>
        </is>
      </c>
      <c r="C9" s="7" t="n">
        <v>0</v>
      </c>
      <c r="D9" s="7" t="n">
        <v>4750</v>
      </c>
      <c r="E9" s="2" t="inlineStr">
        <is>
          <t>Eliminate corresponding group expense</t>
        </is>
      </c>
      <c r="F9" s="2" t="n"/>
    </row>
    <row r="10">
      <c r="A10" s="2" t="inlineStr">
        <is>
          <t>ELIM-004</t>
        </is>
      </c>
      <c r="B10" s="2" t="inlineStr">
        <is>
          <t>FX / Intercompany Adjustment</t>
        </is>
      </c>
      <c r="C10" s="7" t="n">
        <v>150</v>
      </c>
      <c r="D10" s="7" t="n">
        <v>0</v>
      </c>
      <c r="E10" s="2" t="inlineStr">
        <is>
          <t>Align intercompany monetary balance after period-end FX</t>
        </is>
      </c>
      <c r="F10" s="2" t="n"/>
    </row>
    <row r="11">
      <c r="A11" s="2" t="inlineStr">
        <is>
          <t>ELIM-004</t>
        </is>
      </c>
      <c r="B11" s="2" t="inlineStr">
        <is>
          <t>Intercompany Receivable / Payable</t>
        </is>
      </c>
      <c r="C11" s="7" t="n">
        <v>0</v>
      </c>
      <c r="D11" s="7" t="n">
        <v>150</v>
      </c>
      <c r="E11" s="2" t="inlineStr">
        <is>
          <t>Offset FX-related consolidation difference</t>
        </is>
      </c>
      <c r="F11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AVERRA UK Services Ltd — P&amp;L</t>
        </is>
      </c>
      <c r="B1" s="2" t="n"/>
      <c r="C1" s="2" t="n"/>
      <c r="D1" s="2" t="n"/>
      <c r="E1" s="2" t="n"/>
      <c r="F1" s="2" t="n"/>
    </row>
    <row r="2">
      <c r="A2" s="3" t="inlineStr">
        <is>
          <t>Entity-level results before consolidation</t>
        </is>
      </c>
      <c r="B2" s="2" t="n"/>
      <c r="C2" s="2" t="n"/>
      <c r="D2" s="2" t="n"/>
      <c r="E2" s="2" t="n"/>
      <c r="F2" s="2" t="n"/>
    </row>
    <row r="3">
      <c r="A3" s="6" t="inlineStr">
        <is>
          <t>Line Item</t>
        </is>
      </c>
      <c r="B3" s="6" t="inlineStr">
        <is>
          <t>Amount GBP</t>
        </is>
      </c>
      <c r="C3" s="2" t="n"/>
      <c r="D3" s="2" t="n"/>
      <c r="E3" s="2" t="n"/>
      <c r="F3" s="2" t="n"/>
    </row>
    <row r="4">
      <c r="A4" s="2" t="inlineStr">
        <is>
          <t>External Revenue</t>
        </is>
      </c>
      <c r="B4" s="7" t="n">
        <v>120000</v>
      </c>
      <c r="C4" s="2" t="n"/>
      <c r="D4" s="2" t="n"/>
      <c r="E4" s="2" t="n"/>
      <c r="F4" s="2" t="n"/>
    </row>
    <row r="5">
      <c r="A5" s="2" t="inlineStr">
        <is>
          <t>Intercompany Revenue</t>
        </is>
      </c>
      <c r="B5" s="7" t="n">
        <v>0</v>
      </c>
      <c r="C5" s="2" t="n"/>
      <c r="D5" s="2" t="n"/>
      <c r="E5" s="2" t="n"/>
      <c r="F5" s="2" t="n"/>
    </row>
    <row r="6">
      <c r="A6" s="2" t="inlineStr">
        <is>
          <t>Cost of Sales</t>
        </is>
      </c>
      <c r="B6" s="7" t="n">
        <v>50000</v>
      </c>
      <c r="C6" s="2" t="n"/>
      <c r="D6" s="2" t="n"/>
      <c r="E6" s="2" t="n"/>
      <c r="F6" s="2" t="n"/>
    </row>
    <row r="7">
      <c r="A7" s="2" t="inlineStr">
        <is>
          <t>Operating Expenses</t>
        </is>
      </c>
      <c r="B7" s="7" t="n">
        <v>30000</v>
      </c>
      <c r="C7" s="2" t="n"/>
      <c r="D7" s="2" t="n"/>
      <c r="E7" s="2" t="n"/>
      <c r="F7" s="2" t="n"/>
    </row>
    <row r="8">
      <c r="A8" s="2" t="inlineStr">
        <is>
          <t>Intercompany Expense</t>
        </is>
      </c>
      <c r="B8" s="7" t="n">
        <v>6250</v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8" t="inlineStr">
        <is>
          <t>Net Profit</t>
        </is>
      </c>
      <c r="B10" s="9">
        <f>B4+B5-B6-B7-B8</f>
        <v/>
      </c>
      <c r="C10" s="2" t="n"/>
      <c r="D10" s="2" t="n"/>
      <c r="E10" s="2" t="n"/>
      <c r="F10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AVERRA India Services Pvt Ltd — P&amp;L</t>
        </is>
      </c>
      <c r="B1" s="2" t="n"/>
      <c r="C1" s="2" t="n"/>
      <c r="D1" s="2" t="n"/>
      <c r="E1" s="2" t="n"/>
      <c r="F1" s="2" t="n"/>
    </row>
    <row r="2">
      <c r="A2" s="3" t="inlineStr">
        <is>
          <t>Entity-level results before consolidation</t>
        </is>
      </c>
      <c r="B2" s="2" t="n"/>
      <c r="C2" s="2" t="n"/>
      <c r="D2" s="2" t="n"/>
      <c r="E2" s="2" t="n"/>
      <c r="F2" s="2" t="n"/>
    </row>
    <row r="3">
      <c r="A3" s="6" t="inlineStr">
        <is>
          <t>Line Item</t>
        </is>
      </c>
      <c r="B3" s="6" t="inlineStr">
        <is>
          <t>Amount GBP</t>
        </is>
      </c>
      <c r="C3" s="2" t="n"/>
      <c r="D3" s="2" t="n"/>
      <c r="E3" s="2" t="n"/>
      <c r="F3" s="2" t="n"/>
    </row>
    <row r="4">
      <c r="A4" s="2" t="inlineStr">
        <is>
          <t>External Revenue</t>
        </is>
      </c>
      <c r="B4" s="7" t="n">
        <v>85000</v>
      </c>
      <c r="C4" s="2" t="n"/>
      <c r="D4" s="2" t="n"/>
      <c r="E4" s="2" t="n"/>
      <c r="F4" s="2" t="n"/>
    </row>
    <row r="5">
      <c r="A5" s="2" t="inlineStr">
        <is>
          <t>Intercompany Revenue</t>
        </is>
      </c>
      <c r="B5" s="7" t="n">
        <v>4750</v>
      </c>
      <c r="C5" s="2" t="n"/>
      <c r="D5" s="2" t="n"/>
      <c r="E5" s="2" t="n"/>
      <c r="F5" s="2" t="n"/>
    </row>
    <row r="6">
      <c r="A6" s="2" t="inlineStr">
        <is>
          <t>Cost of Sales</t>
        </is>
      </c>
      <c r="B6" s="7" t="n">
        <v>0</v>
      </c>
      <c r="C6" s="2" t="n"/>
      <c r="D6" s="2" t="n"/>
      <c r="E6" s="2" t="n"/>
      <c r="F6" s="2" t="n"/>
    </row>
    <row r="7">
      <c r="A7" s="2" t="inlineStr">
        <is>
          <t>Operating Expenses</t>
        </is>
      </c>
      <c r="B7" s="7" t="n">
        <v>50000</v>
      </c>
      <c r="C7" s="2" t="n"/>
      <c r="D7" s="2" t="n"/>
      <c r="E7" s="2" t="n"/>
      <c r="F7" s="2" t="n"/>
    </row>
    <row r="8">
      <c r="A8" s="2" t="inlineStr">
        <is>
          <t>Intercompany Expense</t>
        </is>
      </c>
      <c r="B8" s="7" t="n">
        <v>0</v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8" t="inlineStr">
        <is>
          <t>Net Profit</t>
        </is>
      </c>
      <c r="B10" s="9">
        <f>B4+B5-B6-B7-B8</f>
        <v/>
      </c>
      <c r="C10" s="2" t="n"/>
      <c r="D10" s="2" t="n"/>
      <c r="E10" s="2" t="n"/>
      <c r="F10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AVERRA UK Services Ltd — Balance Sheet</t>
        </is>
      </c>
      <c r="B1" s="2" t="n"/>
      <c r="C1" s="2" t="n"/>
      <c r="D1" s="2" t="n"/>
      <c r="E1" s="2" t="n"/>
      <c r="F1" s="2" t="n"/>
    </row>
    <row r="2">
      <c r="A2" s="3" t="inlineStr">
        <is>
          <t>Entity-level balances before consolidation</t>
        </is>
      </c>
      <c r="B2" s="2" t="n"/>
      <c r="C2" s="2" t="n"/>
      <c r="D2" s="2" t="n"/>
      <c r="E2" s="2" t="n"/>
      <c r="F2" s="2" t="n"/>
    </row>
    <row r="3">
      <c r="A3" s="6" t="inlineStr">
        <is>
          <t>Line Item</t>
        </is>
      </c>
      <c r="B3" s="6" t="inlineStr">
        <is>
          <t>Amount GBP</t>
        </is>
      </c>
      <c r="C3" s="2" t="n"/>
      <c r="D3" s="2" t="n"/>
      <c r="E3" s="2" t="n"/>
      <c r="F3" s="2" t="n"/>
    </row>
    <row r="4">
      <c r="A4" s="2" t="inlineStr">
        <is>
          <t>Bank</t>
        </is>
      </c>
      <c r="B4" s="7" t="n">
        <v>65000</v>
      </c>
      <c r="C4" s="2" t="n"/>
      <c r="D4" s="2" t="n"/>
      <c r="E4" s="2" t="n"/>
      <c r="F4" s="2" t="n"/>
    </row>
    <row r="5">
      <c r="A5" s="2" t="inlineStr">
        <is>
          <t>Trade Receivables</t>
        </is>
      </c>
      <c r="B5" s="7" t="n">
        <v>30000</v>
      </c>
      <c r="C5" s="2" t="n"/>
      <c r="D5" s="2" t="n"/>
      <c r="E5" s="2" t="n"/>
      <c r="F5" s="2" t="n"/>
    </row>
    <row r="6">
      <c r="A6" s="2" t="inlineStr">
        <is>
          <t>Intercompany Receivable</t>
        </is>
      </c>
      <c r="B6" s="7" t="n">
        <v>0</v>
      </c>
      <c r="C6" s="2" t="n"/>
      <c r="D6" s="2" t="n"/>
      <c r="E6" s="2" t="n"/>
      <c r="F6" s="2" t="n"/>
    </row>
    <row r="7">
      <c r="A7" s="2" t="inlineStr">
        <is>
          <t>Intercompany Payable</t>
        </is>
      </c>
      <c r="B7" s="7" t="n">
        <v>-25000</v>
      </c>
      <c r="C7" s="2" t="n"/>
      <c r="D7" s="2" t="n"/>
      <c r="E7" s="2" t="n"/>
      <c r="F7" s="2" t="n"/>
    </row>
    <row r="8">
      <c r="A8" s="2" t="inlineStr">
        <is>
          <t>Net Assets</t>
        </is>
      </c>
      <c r="B8" s="7" t="n">
        <v>70000</v>
      </c>
      <c r="C8" s="2" t="n"/>
      <c r="D8" s="2" t="n"/>
      <c r="E8" s="2" t="n"/>
      <c r="F8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AVERRA India Services Pvt Ltd — Balance Sheet</t>
        </is>
      </c>
      <c r="B1" s="2" t="n"/>
      <c r="C1" s="2" t="n"/>
      <c r="D1" s="2" t="n"/>
      <c r="E1" s="2" t="n"/>
      <c r="F1" s="2" t="n"/>
    </row>
    <row r="2">
      <c r="A2" s="3" t="inlineStr">
        <is>
          <t>Entity-level balances before consolidation</t>
        </is>
      </c>
      <c r="B2" s="2" t="n"/>
      <c r="C2" s="2" t="n"/>
      <c r="D2" s="2" t="n"/>
      <c r="E2" s="2" t="n"/>
      <c r="F2" s="2" t="n"/>
    </row>
    <row r="3">
      <c r="A3" s="6" t="inlineStr">
        <is>
          <t>Line Item</t>
        </is>
      </c>
      <c r="B3" s="6" t="inlineStr">
        <is>
          <t>Amount GBP</t>
        </is>
      </c>
      <c r="C3" s="2" t="n"/>
      <c r="D3" s="2" t="n"/>
      <c r="E3" s="2" t="n"/>
      <c r="F3" s="2" t="n"/>
    </row>
    <row r="4">
      <c r="A4" s="2" t="inlineStr">
        <is>
          <t>Bank</t>
        </is>
      </c>
      <c r="B4" s="7" t="n">
        <v>30000</v>
      </c>
      <c r="C4" s="2" t="n"/>
      <c r="D4" s="2" t="n"/>
      <c r="E4" s="2" t="n"/>
      <c r="F4" s="2" t="n"/>
    </row>
    <row r="5">
      <c r="A5" s="2" t="inlineStr">
        <is>
          <t>Intercompany Receivable</t>
        </is>
      </c>
      <c r="B5" s="7" t="n">
        <v>25000</v>
      </c>
      <c r="C5" s="2" t="n"/>
      <c r="D5" s="2" t="n"/>
      <c r="E5" s="2" t="n"/>
      <c r="F5" s="2" t="n"/>
    </row>
    <row r="6">
      <c r="A6" s="2" t="inlineStr">
        <is>
          <t>Intercompany Loan Payable</t>
        </is>
      </c>
      <c r="B6" s="7" t="n">
        <v>-10000</v>
      </c>
      <c r="C6" s="2" t="n"/>
      <c r="D6" s="2" t="n"/>
      <c r="E6" s="2" t="n"/>
      <c r="F6" s="2" t="n"/>
    </row>
    <row r="7">
      <c r="A7" s="2" t="inlineStr">
        <is>
          <t>Net Assets</t>
        </is>
      </c>
      <c r="B7" s="7" t="n">
        <v>45000</v>
      </c>
      <c r="C7" s="2" t="n"/>
      <c r="D7" s="2" t="n"/>
      <c r="E7" s="2" t="n"/>
      <c r="F7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  <col width="20" customWidth="1" min="5" max="5"/>
  </cols>
  <sheetData>
    <row r="1">
      <c r="A1" s="1" t="inlineStr">
        <is>
          <t>Consolidated Statement of Profit or Loss</t>
        </is>
      </c>
      <c r="B1" s="2" t="n"/>
      <c r="C1" s="2" t="n"/>
      <c r="D1" s="2" t="n"/>
      <c r="E1" s="2" t="n"/>
      <c r="F1" s="2" t="n"/>
    </row>
    <row r="2">
      <c r="A2" s="3" t="inlineStr">
        <is>
          <t>Group results after intercompany elimination</t>
        </is>
      </c>
      <c r="B2" s="2" t="n"/>
      <c r="C2" s="2" t="n"/>
      <c r="D2" s="2" t="n"/>
      <c r="E2" s="2" t="n"/>
      <c r="F2" s="2" t="n"/>
    </row>
    <row r="3">
      <c r="A3" s="6" t="inlineStr">
        <is>
          <t>Line Item</t>
        </is>
      </c>
      <c r="B3" s="6" t="inlineStr">
        <is>
          <t>UK</t>
        </is>
      </c>
      <c r="C3" s="6" t="inlineStr">
        <is>
          <t>India</t>
        </is>
      </c>
      <c r="D3" s="6" t="inlineStr">
        <is>
          <t>Eliminations</t>
        </is>
      </c>
      <c r="E3" s="6" t="inlineStr">
        <is>
          <t>Consolidated</t>
        </is>
      </c>
      <c r="F3" s="2" t="n"/>
    </row>
    <row r="4">
      <c r="A4" s="2" t="inlineStr">
        <is>
          <t>External Revenue</t>
        </is>
      </c>
      <c r="B4" s="7" t="n">
        <v>120000</v>
      </c>
      <c r="C4" s="7" t="n">
        <v>85000</v>
      </c>
      <c r="D4" s="7" t="n">
        <v>0</v>
      </c>
      <c r="E4" s="7">
        <f>SUM(B4:D4)</f>
        <v/>
      </c>
      <c r="F4" s="2" t="n"/>
    </row>
    <row r="5">
      <c r="A5" s="2" t="inlineStr">
        <is>
          <t>Intercompany Revenue</t>
        </is>
      </c>
      <c r="B5" s="7" t="n">
        <v>0</v>
      </c>
      <c r="C5" s="7" t="n">
        <v>4750</v>
      </c>
      <c r="D5" s="7" t="n">
        <v>-4750</v>
      </c>
      <c r="E5" s="7">
        <f>SUM(B5:D5)</f>
        <v/>
      </c>
      <c r="F5" s="2" t="n"/>
    </row>
    <row r="6">
      <c r="A6" s="2" t="inlineStr">
        <is>
          <t>Cost of Sales</t>
        </is>
      </c>
      <c r="B6" s="7" t="n">
        <v>50000</v>
      </c>
      <c r="C6" s="7" t="n">
        <v>0</v>
      </c>
      <c r="D6" s="7" t="n">
        <v>0</v>
      </c>
      <c r="E6" s="7">
        <f>SUM(B6:D6)</f>
        <v/>
      </c>
      <c r="F6" s="2" t="n"/>
    </row>
    <row r="7">
      <c r="A7" s="2" t="inlineStr">
        <is>
          <t>Operating Expenses</t>
        </is>
      </c>
      <c r="B7" s="7" t="n">
        <v>30000</v>
      </c>
      <c r="C7" s="7" t="n">
        <v>50000</v>
      </c>
      <c r="D7" s="7" t="n">
        <v>0</v>
      </c>
      <c r="E7" s="7">
        <f>SUM(B7:D7)</f>
        <v/>
      </c>
      <c r="F7" s="2" t="n"/>
    </row>
    <row r="8">
      <c r="A8" s="2" t="inlineStr">
        <is>
          <t>Intercompany Expense</t>
        </is>
      </c>
      <c r="B8" s="7" t="n">
        <v>6250</v>
      </c>
      <c r="C8" s="7" t="n">
        <v>0</v>
      </c>
      <c r="D8" s="7" t="n">
        <v>-6250</v>
      </c>
      <c r="E8" s="7">
        <f>SUM(B8:D8)</f>
        <v/>
      </c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8" t="inlineStr">
        <is>
          <t>Consolidated Profit</t>
        </is>
      </c>
      <c r="B10" s="2" t="n"/>
      <c r="C10" s="2" t="n"/>
      <c r="D10" s="2" t="n"/>
      <c r="E10" s="9">
        <f>E4+E5-E6-E7-E8</f>
        <v/>
      </c>
      <c r="F10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8" customWidth="1" min="5" max="5"/>
    <col width="20" customWidth="1" min="6" max="6"/>
  </cols>
  <sheetData>
    <row r="1">
      <c r="A1" s="1" t="inlineStr">
        <is>
          <t>Consolidated Statement of Financial Position</t>
        </is>
      </c>
      <c r="B1" s="2" t="n"/>
      <c r="C1" s="2" t="n"/>
      <c r="D1" s="2" t="n"/>
      <c r="E1" s="2" t="n"/>
      <c r="F1" s="2" t="n"/>
    </row>
    <row r="2">
      <c r="A2" s="3" t="inlineStr">
        <is>
          <t>Group balance sheet after intercompany elimination</t>
        </is>
      </c>
      <c r="B2" s="2" t="n"/>
      <c r="C2" s="2" t="n"/>
      <c r="D2" s="2" t="n"/>
      <c r="E2" s="2" t="n"/>
      <c r="F2" s="2" t="n"/>
    </row>
    <row r="3">
      <c r="A3" s="6" t="inlineStr">
        <is>
          <t>Line Item</t>
        </is>
      </c>
      <c r="B3" s="6" t="inlineStr">
        <is>
          <t>UK</t>
        </is>
      </c>
      <c r="C3" s="6" t="inlineStr">
        <is>
          <t>India</t>
        </is>
      </c>
      <c r="D3" s="6" t="inlineStr">
        <is>
          <t>Parent</t>
        </is>
      </c>
      <c r="E3" s="6" t="inlineStr">
        <is>
          <t>Eliminations</t>
        </is>
      </c>
      <c r="F3" s="6" t="inlineStr">
        <is>
          <t>Consolidated</t>
        </is>
      </c>
    </row>
    <row r="4">
      <c r="A4" s="2" t="inlineStr">
        <is>
          <t>Bank</t>
        </is>
      </c>
      <c r="B4" s="7" t="n">
        <v>65000</v>
      </c>
      <c r="C4" s="7" t="n">
        <v>30000</v>
      </c>
      <c r="D4" s="7" t="n">
        <v>40000</v>
      </c>
      <c r="E4" s="7" t="n">
        <v>0</v>
      </c>
      <c r="F4" s="7">
        <f>SUM(B4:E4)</f>
        <v/>
      </c>
    </row>
    <row r="5">
      <c r="A5" s="2" t="inlineStr">
        <is>
          <t>Trade Receivables</t>
        </is>
      </c>
      <c r="B5" s="7" t="n">
        <v>30000</v>
      </c>
      <c r="C5" s="7" t="n">
        <v>0</v>
      </c>
      <c r="D5" s="7" t="n">
        <v>0</v>
      </c>
      <c r="E5" s="7" t="n">
        <v>0</v>
      </c>
      <c r="F5" s="7">
        <f>SUM(B5:E5)</f>
        <v/>
      </c>
    </row>
    <row r="6">
      <c r="A6" s="2" t="inlineStr">
        <is>
          <t>Intercompany Receivable</t>
        </is>
      </c>
      <c r="B6" s="7" t="n">
        <v>0</v>
      </c>
      <c r="C6" s="7" t="n">
        <v>25000</v>
      </c>
      <c r="D6" s="7" t="n">
        <v>0</v>
      </c>
      <c r="E6" s="7" t="n">
        <v>-25000</v>
      </c>
      <c r="F6" s="7">
        <f>SUM(B6:E6)</f>
        <v/>
      </c>
    </row>
    <row r="7">
      <c r="A7" s="2" t="inlineStr">
        <is>
          <t>Intercompany Loan Receivable</t>
        </is>
      </c>
      <c r="B7" s="7" t="n">
        <v>0</v>
      </c>
      <c r="C7" s="7" t="n">
        <v>0</v>
      </c>
      <c r="D7" s="7" t="n">
        <v>10000</v>
      </c>
      <c r="E7" s="7" t="n">
        <v>-10000</v>
      </c>
      <c r="F7" s="7">
        <f>SUM(B7:E7)</f>
        <v/>
      </c>
    </row>
    <row r="8">
      <c r="A8" s="2" t="inlineStr">
        <is>
          <t>Intercompany Payable</t>
        </is>
      </c>
      <c r="B8" s="7" t="n">
        <v>-25000</v>
      </c>
      <c r="C8" s="7" t="n">
        <v>0</v>
      </c>
      <c r="D8" s="7" t="n">
        <v>0</v>
      </c>
      <c r="E8" s="7" t="n">
        <v>25000</v>
      </c>
      <c r="F8" s="7">
        <f>SUM(B8:E8)</f>
        <v/>
      </c>
    </row>
    <row r="9">
      <c r="A9" s="2" t="inlineStr">
        <is>
          <t>Intercompany Loan Payable</t>
        </is>
      </c>
      <c r="B9" s="7" t="n">
        <v>0</v>
      </c>
      <c r="C9" s="7" t="n">
        <v>-10000</v>
      </c>
      <c r="D9" s="7" t="n">
        <v>0</v>
      </c>
      <c r="E9" s="7" t="n">
        <v>10000</v>
      </c>
      <c r="F9" s="7">
        <f>SUM(B9:E9)</f>
        <v/>
      </c>
    </row>
    <row r="10">
      <c r="A10" s="2" t="inlineStr">
        <is>
          <t>Investments</t>
        </is>
      </c>
      <c r="B10" s="7" t="n">
        <v>0</v>
      </c>
      <c r="C10" s="7" t="n">
        <v>0</v>
      </c>
      <c r="D10" s="7" t="n">
        <v>130000</v>
      </c>
      <c r="E10" s="7" t="n">
        <v>-130000</v>
      </c>
      <c r="F10" s="7">
        <f>SUM(B10:E10)</f>
        <v/>
      </c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8" t="inlineStr">
        <is>
          <t>Net Group Assets</t>
        </is>
      </c>
      <c r="B13" s="2" t="n"/>
      <c r="C13" s="2" t="n"/>
      <c r="D13" s="2" t="n"/>
      <c r="E13" s="2" t="n"/>
      <c r="F13" s="9">
        <f>SUM(F4:F10)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15" customWidth="1" min="3" max="3"/>
    <col width="18" customWidth="1" min="4" max="4"/>
    <col width="50" customWidth="1" min="5" max="5"/>
  </cols>
  <sheetData>
    <row r="1">
      <c r="A1" s="1" t="inlineStr">
        <is>
          <t>Group Consolidation Checklist</t>
        </is>
      </c>
      <c r="B1" s="2" t="n"/>
      <c r="C1" s="2" t="n"/>
      <c r="D1" s="2" t="n"/>
      <c r="E1" s="2" t="n"/>
      <c r="F1" s="2" t="n"/>
    </row>
    <row r="2">
      <c r="A2" s="3" t="inlineStr">
        <is>
          <t>Close and consolidation control tracker</t>
        </is>
      </c>
      <c r="B2" s="2" t="n"/>
      <c r="C2" s="2" t="n"/>
      <c r="D2" s="2" t="n"/>
      <c r="E2" s="2" t="n"/>
      <c r="F2" s="2" t="n"/>
    </row>
    <row r="3">
      <c r="A3" s="6" t="inlineStr">
        <is>
          <t>Control</t>
        </is>
      </c>
      <c r="B3" s="6" t="inlineStr">
        <is>
          <t>Owner</t>
        </is>
      </c>
      <c r="C3" s="6" t="inlineStr">
        <is>
          <t>Due</t>
        </is>
      </c>
      <c r="D3" s="6" t="inlineStr">
        <is>
          <t>Status</t>
        </is>
      </c>
      <c r="E3" s="6" t="inlineStr">
        <is>
          <t>Evidence</t>
        </is>
      </c>
      <c r="F3" s="2" t="n"/>
    </row>
    <row r="4">
      <c r="A4" s="2" t="inlineStr">
        <is>
          <t>Confirm entity trial balances are final</t>
        </is>
      </c>
      <c r="B4" s="2" t="inlineStr">
        <is>
          <t>Group Accountant</t>
        </is>
      </c>
      <c r="C4" s="2" t="inlineStr">
        <is>
          <t>02/10/2026</t>
        </is>
      </c>
      <c r="D4" s="2" t="inlineStr">
        <is>
          <t>Complete</t>
        </is>
      </c>
      <c r="E4" s="2" t="inlineStr">
        <is>
          <t>Entity GL summary reviewed</t>
        </is>
      </c>
      <c r="F4" s="2" t="n"/>
    </row>
    <row r="5">
      <c r="A5" s="2" t="inlineStr">
        <is>
          <t>Reconcile all intercompany balances</t>
        </is>
      </c>
      <c r="B5" s="2" t="inlineStr">
        <is>
          <t>Group Accountant</t>
        </is>
      </c>
      <c r="C5" s="2" t="inlineStr">
        <is>
          <t>02/10/2026</t>
        </is>
      </c>
      <c r="D5" s="2" t="inlineStr">
        <is>
          <t>In Review</t>
        </is>
      </c>
      <c r="E5" s="2" t="inlineStr">
        <is>
          <t>IC reconciliation prepared</t>
        </is>
      </c>
      <c r="F5" s="2" t="n"/>
    </row>
    <row r="6">
      <c r="A6" s="2" t="inlineStr">
        <is>
          <t>Investigate £1,500 IC difference</t>
        </is>
      </c>
      <c r="B6" s="2" t="inlineStr">
        <is>
          <t>Group Accountant</t>
        </is>
      </c>
      <c r="C6" s="2" t="inlineStr">
        <is>
          <t>03/10/2026</t>
        </is>
      </c>
      <c r="D6" s="2" t="inlineStr">
        <is>
          <t>Open</t>
        </is>
      </c>
      <c r="E6" s="2" t="inlineStr">
        <is>
          <t>IC003 requires correction</t>
        </is>
      </c>
      <c r="F6" s="2" t="n"/>
    </row>
    <row r="7">
      <c r="A7" s="2" t="inlineStr">
        <is>
          <t>Review period-end FX rate</t>
        </is>
      </c>
      <c r="B7" s="2" t="inlineStr">
        <is>
          <t>Group Accountant</t>
        </is>
      </c>
      <c r="C7" s="2" t="inlineStr">
        <is>
          <t>03/10/2026</t>
        </is>
      </c>
      <c r="D7" s="2" t="inlineStr">
        <is>
          <t>Complete</t>
        </is>
      </c>
      <c r="E7" s="2" t="inlineStr">
        <is>
          <t>FX schedule prepared</t>
        </is>
      </c>
      <c r="F7" s="2" t="n"/>
    </row>
    <row r="8">
      <c r="A8" s="2" t="inlineStr">
        <is>
          <t>Post consolidation eliminations</t>
        </is>
      </c>
      <c r="B8" s="2" t="inlineStr">
        <is>
          <t>Group Accountant</t>
        </is>
      </c>
      <c r="C8" s="2" t="inlineStr">
        <is>
          <t>04/10/2026</t>
        </is>
      </c>
      <c r="D8" s="2" t="inlineStr">
        <is>
          <t>Pending</t>
        </is>
      </c>
      <c r="E8" s="2" t="inlineStr">
        <is>
          <t>Elimination journals drafted</t>
        </is>
      </c>
      <c r="F8" s="2" t="n"/>
    </row>
    <row r="9">
      <c r="A9" s="2" t="inlineStr">
        <is>
          <t>Review consolidated P&amp;L</t>
        </is>
      </c>
      <c r="B9" s="2" t="inlineStr">
        <is>
          <t>Finance Manager</t>
        </is>
      </c>
      <c r="C9" s="2" t="inlineStr">
        <is>
          <t>05/10/2026</t>
        </is>
      </c>
      <c r="D9" s="2" t="inlineStr">
        <is>
          <t>Pending</t>
        </is>
      </c>
      <c r="E9" s="2" t="inlineStr">
        <is>
          <t>Management review</t>
        </is>
      </c>
      <c r="F9" s="2" t="n"/>
    </row>
    <row r="10">
      <c r="A10" s="2" t="inlineStr">
        <is>
          <t>Review consolidated Balance Sheet</t>
        </is>
      </c>
      <c r="B10" s="2" t="inlineStr">
        <is>
          <t>Finance Manager</t>
        </is>
      </c>
      <c r="C10" s="2" t="inlineStr">
        <is>
          <t>05/10/2026</t>
        </is>
      </c>
      <c r="D10" s="2" t="inlineStr">
        <is>
          <t>Pending</t>
        </is>
      </c>
      <c r="E10" s="2" t="inlineStr">
        <is>
          <t>Management review</t>
        </is>
      </c>
      <c r="F10" s="2" t="n"/>
    </row>
    <row r="11">
      <c r="A11" s="2" t="inlineStr">
        <is>
          <t>Final group reporting sign-off</t>
        </is>
      </c>
      <c r="B11" s="2" t="inlineStr">
        <is>
          <t>Finance Director</t>
        </is>
      </c>
      <c r="C11" s="2" t="inlineStr">
        <is>
          <t>06/10/2026</t>
        </is>
      </c>
      <c r="D11" s="2" t="inlineStr">
        <is>
          <t>Pending</t>
        </is>
      </c>
      <c r="E11" s="2" t="inlineStr">
        <is>
          <t>Awaiting approval</t>
        </is>
      </c>
      <c r="F11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70" customWidth="1" min="3" max="3"/>
  </cols>
  <sheetData>
    <row r="1">
      <c r="A1" s="1" t="inlineStr">
        <is>
          <t>Group Management Summary</t>
        </is>
      </c>
      <c r="B1" s="2" t="n"/>
      <c r="C1" s="2" t="n"/>
      <c r="D1" s="2" t="n"/>
      <c r="E1" s="2" t="n"/>
      <c r="F1" s="2" t="n"/>
    </row>
    <row r="2">
      <c r="A2" s="3" t="inlineStr">
        <is>
          <t>Executive view of the consolidation exercise</t>
        </is>
      </c>
      <c r="B2" s="2" t="n"/>
      <c r="C2" s="2" t="n"/>
      <c r="D2" s="2" t="n"/>
      <c r="E2" s="2" t="n"/>
      <c r="F2" s="2" t="n"/>
    </row>
    <row r="3">
      <c r="A3" s="6" t="inlineStr">
        <is>
          <t>Metric</t>
        </is>
      </c>
      <c r="B3" s="6" t="inlineStr">
        <is>
          <t>Value</t>
        </is>
      </c>
      <c r="C3" s="6" t="inlineStr">
        <is>
          <t>Comment</t>
        </is>
      </c>
      <c r="D3" s="2" t="n"/>
      <c r="E3" s="2" t="n"/>
      <c r="F3" s="2" t="n"/>
    </row>
    <row r="4">
      <c r="A4" s="2" t="inlineStr">
        <is>
          <t>UK external revenue</t>
        </is>
      </c>
      <c r="B4" s="7" t="n">
        <v>120000</v>
      </c>
      <c r="C4" s="2" t="inlineStr">
        <is>
          <t>Core UK operating revenue</t>
        </is>
      </c>
      <c r="D4" s="2" t="n"/>
      <c r="E4" s="2" t="n"/>
      <c r="F4" s="2" t="n"/>
    </row>
    <row r="5">
      <c r="A5" s="2" t="inlineStr">
        <is>
          <t>India external revenue</t>
        </is>
      </c>
      <c r="B5" s="7" t="n">
        <v>85000</v>
      </c>
      <c r="C5" s="2" t="inlineStr">
        <is>
          <t>India entity external revenue</t>
        </is>
      </c>
      <c r="D5" s="2" t="n"/>
      <c r="E5" s="2" t="n"/>
      <c r="F5" s="2" t="n"/>
    </row>
    <row r="6">
      <c r="A6" s="2" t="inlineStr">
        <is>
          <t>Gross group revenue before IC elimination</t>
        </is>
      </c>
      <c r="B6" s="7" t="n">
        <v>209750</v>
      </c>
      <c r="C6" s="2" t="inlineStr">
        <is>
          <t>Includes intercompany revenue</t>
        </is>
      </c>
      <c r="D6" s="2" t="n"/>
      <c r="E6" s="2" t="n"/>
      <c r="F6" s="2" t="n"/>
    </row>
    <row r="7">
      <c r="A7" s="2" t="inlineStr">
        <is>
          <t>Intercompany revenue eliminated</t>
        </is>
      </c>
      <c r="B7" s="7" t="n">
        <v>4750</v>
      </c>
      <c r="C7" s="2" t="inlineStr">
        <is>
          <t>Prevents double counting</t>
        </is>
      </c>
      <c r="D7" s="2" t="n"/>
      <c r="E7" s="2" t="n"/>
      <c r="F7" s="2" t="n"/>
    </row>
    <row r="8">
      <c r="A8" s="2" t="inlineStr">
        <is>
          <t>Consolidated revenue</t>
        </is>
      </c>
      <c r="B8" s="7" t="n">
        <v>205000</v>
      </c>
      <c r="C8" s="2" t="inlineStr">
        <is>
          <t>External group revenue</t>
        </is>
      </c>
      <c r="D8" s="2" t="n"/>
      <c r="E8" s="2" t="n"/>
      <c r="F8" s="2" t="n"/>
    </row>
    <row r="9">
      <c r="A9" s="2" t="inlineStr">
        <is>
          <t>Intercompany mismatch</t>
        </is>
      </c>
      <c r="B9" s="7" t="n">
        <v>1500</v>
      </c>
      <c r="C9" s="2" t="inlineStr">
        <is>
          <t>IC003 requires investigation/correction</t>
        </is>
      </c>
      <c r="D9" s="2" t="n"/>
      <c r="E9" s="2" t="n"/>
      <c r="F9" s="2" t="n"/>
    </row>
    <row r="10">
      <c r="A10" s="2" t="inlineStr">
        <is>
          <t>Group loan eliminated</t>
        </is>
      </c>
      <c r="B10" s="7" t="n">
        <v>10000</v>
      </c>
      <c r="C10" s="2" t="inlineStr">
        <is>
          <t>Parent/India internal financing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5" t="inlineStr">
        <is>
          <t>Key conclusions</t>
        </is>
      </c>
      <c r="B13" s="2" t="n"/>
      <c r="C13" s="2" t="n"/>
      <c r="D13" s="2" t="n"/>
      <c r="E13" s="2" t="n"/>
      <c r="F13" s="2" t="n"/>
    </row>
    <row r="14">
      <c r="A14" s="2" t="inlineStr">
        <is>
          <t>• Intercompany balances must agree before consolidation; unresolved differences can misstate group reporting.</t>
        </is>
      </c>
      <c r="B14" s="2" t="n"/>
      <c r="C14" s="2" t="n"/>
      <c r="D14" s="2" t="n"/>
      <c r="E14" s="2" t="n"/>
      <c r="F14" s="2" t="n"/>
    </row>
    <row r="15">
      <c r="A15" s="2" t="inlineStr">
        <is>
          <t>• The £1,500 IC003 difference is caused by inconsistent GBP recording between entities.</t>
        </is>
      </c>
      <c r="B15" s="2" t="n"/>
      <c r="C15" s="2" t="n"/>
      <c r="D15" s="2" t="n"/>
      <c r="E15" s="2" t="n"/>
      <c r="F15" s="2" t="n"/>
    </row>
    <row r="16">
      <c r="A16" s="2" t="inlineStr">
        <is>
          <t>• Intercompany revenue, expense, receivables, payables and loans are eliminated in the consolidated accounts.</t>
        </is>
      </c>
      <c r="B16" s="2" t="n"/>
      <c r="C16" s="2" t="n"/>
      <c r="D16" s="2" t="n"/>
      <c r="E16" s="2" t="n"/>
      <c r="F16" s="2" t="n"/>
    </row>
    <row r="17">
      <c r="A17" s="2" t="inlineStr">
        <is>
          <t>• Period-end FX treatment must be documented for monetary intercompany balances.</t>
        </is>
      </c>
      <c r="B17" s="2" t="n"/>
      <c r="C17" s="2" t="n"/>
      <c r="D17" s="2" t="n"/>
      <c r="E17" s="2" t="n"/>
      <c r="F17" s="2" t="n"/>
    </row>
    <row r="18">
      <c r="A18" s="2" t="inlineStr">
        <is>
          <t>• Group accounting requires strong reconciliation evidence, review and elimination controls.</t>
        </is>
      </c>
      <c r="B18" s="2" t="n"/>
      <c r="C18" s="2" t="n"/>
      <c r="D18" s="2" t="n"/>
      <c r="E18" s="2" t="n"/>
      <c r="F18" s="2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2026-10-08T08:42:40Z</dcterms:created>
  <dcterms:modified xmlns:dcterms="http://purl.org/dc/terms/" xmlns:xsi="http://www.w3.org/2001/XMLSchema-instance" xsi:type="dcterms:W3CDTF">2026-10-08T08:42:40Z</dcterms:modified>
</cp:coreProperties>
</file>