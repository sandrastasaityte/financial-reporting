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dra Stasaityte\Downloads\"/>
    </mc:Choice>
  </mc:AlternateContent>
  <xr:revisionPtr revIDLastSave="0" documentId="8_{12F750A0-0747-41A9-BF33-B750EB21EAE1}" xr6:coauthVersionLast="47" xr6:coauthVersionMax="47" xr10:uidLastSave="{00000000-0000-0000-0000-000000000000}"/>
  <bookViews>
    <workbookView xWindow="-120" yWindow="-120" windowWidth="29040" windowHeight="15720" firstSheet="3" activeTab="10" xr2:uid="{00000000-000D-0000-FFFF-FFFF00000000}"/>
  </bookViews>
  <sheets>
    <sheet name="README" sheetId="1" r:id="rId1"/>
    <sheet name="GL_Data" sheetId="2" r:id="rId2"/>
    <sheet name="Adjusting_Journals" sheetId="3" r:id="rId3"/>
    <sheet name="Trial_Balance" sheetId="4" r:id="rId4"/>
    <sheet name="BS_Recon" sheetId="5" r:id="rId5"/>
    <sheet name="P&amp;L" sheetId="6" r:id="rId6"/>
    <sheet name="Balance_Sheet" sheetId="7" r:id="rId7"/>
    <sheet name="Cash_Flow" sheetId="8" r:id="rId8"/>
    <sheet name="Variance_Analysis" sheetId="9" r:id="rId9"/>
    <sheet name="Close_Checklist" sheetId="10" r:id="rId10"/>
    <sheet name="Management_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B7" i="8"/>
  <c r="B6" i="8"/>
  <c r="F21" i="4"/>
  <c r="B5" i="6" s="1"/>
  <c r="E21" i="4"/>
  <c r="D21" i="4"/>
  <c r="E20" i="4"/>
  <c r="D20" i="4"/>
  <c r="F20" i="4" s="1"/>
  <c r="B13" i="6" s="1"/>
  <c r="B13" i="9" s="1"/>
  <c r="D13" i="9" s="1"/>
  <c r="E13" i="9" s="1"/>
  <c r="E19" i="4"/>
  <c r="D19" i="4"/>
  <c r="F19" i="4" s="1"/>
  <c r="B12" i="6" s="1"/>
  <c r="B12" i="9" s="1"/>
  <c r="D12" i="9" s="1"/>
  <c r="E12" i="9" s="1"/>
  <c r="E18" i="4"/>
  <c r="D18" i="4"/>
  <c r="F18" i="4" s="1"/>
  <c r="B11" i="6" s="1"/>
  <c r="B11" i="9" s="1"/>
  <c r="D11" i="9" s="1"/>
  <c r="E11" i="9" s="1"/>
  <c r="F17" i="4"/>
  <c r="B10" i="6" s="1"/>
  <c r="B10" i="9" s="1"/>
  <c r="D10" i="9" s="1"/>
  <c r="E10" i="9" s="1"/>
  <c r="E17" i="4"/>
  <c r="D17" i="4"/>
  <c r="E16" i="4"/>
  <c r="D16" i="4"/>
  <c r="F16" i="4" s="1"/>
  <c r="B9" i="6" s="1"/>
  <c r="B9" i="9" s="1"/>
  <c r="D9" i="9" s="1"/>
  <c r="E9" i="9" s="1"/>
  <c r="E15" i="4"/>
  <c r="D15" i="4"/>
  <c r="F15" i="4" s="1"/>
  <c r="B8" i="6" s="1"/>
  <c r="B8" i="9" s="1"/>
  <c r="D8" i="9" s="1"/>
  <c r="E8" i="9" s="1"/>
  <c r="E14" i="4"/>
  <c r="D14" i="4"/>
  <c r="F14" i="4" s="1"/>
  <c r="B7" i="6" s="1"/>
  <c r="B7" i="9" s="1"/>
  <c r="D7" i="9" s="1"/>
  <c r="E7" i="9" s="1"/>
  <c r="E13" i="4"/>
  <c r="D13" i="4"/>
  <c r="F13" i="4" s="1"/>
  <c r="B6" i="6" s="1"/>
  <c r="E12" i="4"/>
  <c r="D12" i="4"/>
  <c r="F12" i="4" s="1"/>
  <c r="B4" i="6" s="1"/>
  <c r="E11" i="4"/>
  <c r="D11" i="4"/>
  <c r="F11" i="4" s="1"/>
  <c r="B15" i="7" s="1"/>
  <c r="E10" i="4"/>
  <c r="D10" i="4"/>
  <c r="F10" i="4" s="1"/>
  <c r="E9" i="4"/>
  <c r="D9" i="4"/>
  <c r="F9" i="4" s="1"/>
  <c r="E8" i="4"/>
  <c r="D8" i="4"/>
  <c r="F8" i="4" s="1"/>
  <c r="E7" i="4"/>
  <c r="D7" i="4"/>
  <c r="F7" i="4" s="1"/>
  <c r="E6" i="4"/>
  <c r="D6" i="4"/>
  <c r="F6" i="4" s="1"/>
  <c r="E5" i="4"/>
  <c r="D5" i="4"/>
  <c r="F5" i="4" s="1"/>
  <c r="E4" i="4"/>
  <c r="E23" i="4" s="1"/>
  <c r="D4" i="4"/>
  <c r="F4" i="4" s="1"/>
  <c r="B4" i="9" l="1"/>
  <c r="D4" i="9" s="1"/>
  <c r="E4" i="9" s="1"/>
  <c r="B4" i="11"/>
  <c r="B14" i="6"/>
  <c r="B4" i="5"/>
  <c r="D4" i="5" s="1"/>
  <c r="E4" i="5" s="1"/>
  <c r="B4" i="7"/>
  <c r="F23" i="4"/>
  <c r="B5" i="5"/>
  <c r="D5" i="5" s="1"/>
  <c r="E5" i="5" s="1"/>
  <c r="B5" i="7"/>
  <c r="B14" i="7"/>
  <c r="B10" i="5"/>
  <c r="D10" i="5" s="1"/>
  <c r="E10" i="5" s="1"/>
  <c r="B6" i="11"/>
  <c r="B6" i="9"/>
  <c r="D6" i="9" s="1"/>
  <c r="E6" i="9" s="1"/>
  <c r="B6" i="5"/>
  <c r="D6" i="5" s="1"/>
  <c r="E6" i="5" s="1"/>
  <c r="B6" i="7"/>
  <c r="B5" i="9"/>
  <c r="D5" i="9" s="1"/>
  <c r="E5" i="9" s="1"/>
  <c r="B5" i="11"/>
  <c r="B8" i="7"/>
  <c r="B8" i="5"/>
  <c r="D8" i="5" s="1"/>
  <c r="E8" i="5" s="1"/>
  <c r="B7" i="7"/>
  <c r="B7" i="5"/>
  <c r="D7" i="5" s="1"/>
  <c r="E7" i="5" s="1"/>
  <c r="B13" i="7"/>
  <c r="B9" i="5"/>
  <c r="D9" i="5" s="1"/>
  <c r="E9" i="5" s="1"/>
  <c r="D23" i="4"/>
  <c r="B10" i="7" l="1"/>
  <c r="B7" i="11"/>
  <c r="B5" i="8"/>
  <c r="B12" i="8" s="1"/>
  <c r="B8" i="11" s="1"/>
  <c r="B16" i="7"/>
  <c r="B18" i="7"/>
  <c r="B20" i="7" l="1"/>
  <c r="B9" i="11" s="1"/>
</calcChain>
</file>

<file path=xl/sharedStrings.xml><?xml version="1.0" encoding="utf-8"?>
<sst xmlns="http://schemas.openxmlformats.org/spreadsheetml/2006/main" count="483" uniqueCount="227">
  <si>
    <t>Group Month-End Close &amp; Financial Reporting Project</t>
  </si>
  <si>
    <t>Portfolio project designed to demonstrate financial accounting, reconciliations, reporting, controls and process improvement.</t>
  </si>
  <si>
    <t>Project objective</t>
  </si>
  <si>
    <t>Complete a simulated month-end close for a UK group holding company.</t>
  </si>
  <si>
    <t>Reporting period</t>
  </si>
  <si>
    <t>30 September 2026</t>
  </si>
  <si>
    <t>Currency</t>
  </si>
  <si>
    <t>GBP</t>
  </si>
  <si>
    <t>Entity</t>
  </si>
  <si>
    <t>AVERRA Holdings Ltd (simulated)</t>
  </si>
  <si>
    <t>Key skills demonstrated</t>
  </si>
  <si>
    <t>Month-end close, journals, reconciliations, financial statements, variance analysis, controls and audit readiness.</t>
  </si>
  <si>
    <t>Important note</t>
  </si>
  <si>
    <t>All company names and financial data in this workbook are simulated for portfolio/interview purposes.</t>
  </si>
  <si>
    <t>Workflow</t>
  </si>
  <si>
    <t>1. Review GL transactions</t>
  </si>
  <si>
    <t>2. Post adjusting journals</t>
  </si>
  <si>
    <t>3. Prepare adjusted trial balance</t>
  </si>
  <si>
    <t>4. Complete balance-sheet reconciliations</t>
  </si>
  <si>
    <t>5. Prepare P&amp;L and Balance Sheet</t>
  </si>
  <si>
    <t>6. Prepare cash-flow summary</t>
  </si>
  <si>
    <t>7. Investigate variances</t>
  </si>
  <si>
    <t>8. Complete close checklist and management commentary</t>
  </si>
  <si>
    <t>General Ledger Data</t>
  </si>
  <si>
    <t>September 2026 simulated transaction listing</t>
  </si>
  <si>
    <t>Date</t>
  </si>
  <si>
    <t>Account Code</t>
  </si>
  <si>
    <t>Account Name</t>
  </si>
  <si>
    <t>Type</t>
  </si>
  <si>
    <t>Description</t>
  </si>
  <si>
    <t>Debit</t>
  </si>
  <si>
    <t>Credit</t>
  </si>
  <si>
    <t>01/09/2026</t>
  </si>
  <si>
    <t>AVERRA Holdings Ltd</t>
  </si>
  <si>
    <t>1000</t>
  </si>
  <si>
    <t>Bank</t>
  </si>
  <si>
    <t>BS</t>
  </si>
  <si>
    <t>Opening bank balance</t>
  </si>
  <si>
    <t>02/09/2026</t>
  </si>
  <si>
    <t>4000</t>
  </si>
  <si>
    <t>Revenue</t>
  </si>
  <si>
    <t>P&amp;L</t>
  </si>
  <si>
    <t>Management service revenue</t>
  </si>
  <si>
    <t>03/09/2026</t>
  </si>
  <si>
    <t>5000</t>
  </si>
  <si>
    <t>Cost of Sales</t>
  </si>
  <si>
    <t>External contractor costs</t>
  </si>
  <si>
    <t>04/09/2026</t>
  </si>
  <si>
    <t>6100</t>
  </si>
  <si>
    <t>Salaries</t>
  </si>
  <si>
    <t>September payroll</t>
  </si>
  <si>
    <t>05/09/2026</t>
  </si>
  <si>
    <t>6200</t>
  </si>
  <si>
    <t>Employer NI</t>
  </si>
  <si>
    <t>Employer payroll costs</t>
  </si>
  <si>
    <t>06/09/2026</t>
  </si>
  <si>
    <t>6300</t>
  </si>
  <si>
    <t>Rent &amp; Premises</t>
  </si>
  <si>
    <t>Office rent</t>
  </si>
  <si>
    <t>07/09/2026</t>
  </si>
  <si>
    <t>6400</t>
  </si>
  <si>
    <t>Software &amp; IT</t>
  </si>
  <si>
    <t>Software subscriptions</t>
  </si>
  <si>
    <t>08/09/2026</t>
  </si>
  <si>
    <t>6500</t>
  </si>
  <si>
    <t>Professional Fees</t>
  </si>
  <si>
    <t>Legal/accounting fees</t>
  </si>
  <si>
    <t>09/09/2026</t>
  </si>
  <si>
    <t>1100</t>
  </si>
  <si>
    <t>Trade Receivables</t>
  </si>
  <si>
    <t>Customer invoices</t>
  </si>
  <si>
    <t>10/09/2026</t>
  </si>
  <si>
    <t>Customer receipt</t>
  </si>
  <si>
    <t>12/09/2026</t>
  </si>
  <si>
    <t>2000</t>
  </si>
  <si>
    <t>Trade Payables</t>
  </si>
  <si>
    <t>Supplier invoices</t>
  </si>
  <si>
    <t>13/09/2026</t>
  </si>
  <si>
    <t>Supplier payment</t>
  </si>
  <si>
    <t>15/09/2026</t>
  </si>
  <si>
    <t>6700</t>
  </si>
  <si>
    <t>Travel &amp; Expenses</t>
  </si>
  <si>
    <t>Business travel</t>
  </si>
  <si>
    <t>16/09/2026</t>
  </si>
  <si>
    <t>1200</t>
  </si>
  <si>
    <t>Prepayments</t>
  </si>
  <si>
    <t>Annual insurance paid</t>
  </si>
  <si>
    <t>20/09/2026</t>
  </si>
  <si>
    <t>1500</t>
  </si>
  <si>
    <t>Fixed Assets</t>
  </si>
  <si>
    <t>Computer equipment</t>
  </si>
  <si>
    <t>25/09/2026</t>
  </si>
  <si>
    <t>Share capital funding</t>
  </si>
  <si>
    <t>3000</t>
  </si>
  <si>
    <t>Share Capital</t>
  </si>
  <si>
    <t>28/09/2026</t>
  </si>
  <si>
    <t>6800</t>
  </si>
  <si>
    <t>Bank Charges</t>
  </si>
  <si>
    <t>Bank fees</t>
  </si>
  <si>
    <t>29/09/2026</t>
  </si>
  <si>
    <t>7000</t>
  </si>
  <si>
    <t>Other Income</t>
  </si>
  <si>
    <t>FX/other income</t>
  </si>
  <si>
    <t>Adjusting Journals</t>
  </si>
  <si>
    <t>Month-end entries for accruals, depreciation and prepayments</t>
  </si>
  <si>
    <t>JE No.</t>
  </si>
  <si>
    <t>Reason</t>
  </si>
  <si>
    <t>AJ001</t>
  </si>
  <si>
    <t>30/09/2026</t>
  </si>
  <si>
    <t>Accrue September software invoice not yet received</t>
  </si>
  <si>
    <t>Accrual</t>
  </si>
  <si>
    <t>2100</t>
  </si>
  <si>
    <t>Accrued Expenses</t>
  </si>
  <si>
    <t>AJ002</t>
  </si>
  <si>
    <t>Accrue utilities/rent-related cost</t>
  </si>
  <si>
    <t>AJ003</t>
  </si>
  <si>
    <t>Depreciation</t>
  </si>
  <si>
    <t>Monthly depreciation on equipment</t>
  </si>
  <si>
    <t>1550</t>
  </si>
  <si>
    <t>Accumulated Depreciation</t>
  </si>
  <si>
    <t>AJ004</t>
  </si>
  <si>
    <t>Insurance/prepayment release for one month</t>
  </si>
  <si>
    <t>Prepayment release</t>
  </si>
  <si>
    <t>AJ005</t>
  </si>
  <si>
    <t>Unbilled contractor cost accrued</t>
  </si>
  <si>
    <t>Adjusted Trial Balance</t>
  </si>
  <si>
    <t>Formula-driven from GL data and month-end journals</t>
  </si>
  <si>
    <t>Category</t>
  </si>
  <si>
    <t>Balance</t>
  </si>
  <si>
    <t>Balance Sheet</t>
  </si>
  <si>
    <t>Profit &amp; Loss</t>
  </si>
  <si>
    <t>TOTAL</t>
  </si>
  <si>
    <t>Balance Sheet Reconciliation</t>
  </si>
  <si>
    <t>Identify differences between ledger balances and independent supporting schedules</t>
  </si>
  <si>
    <t>Account</t>
  </si>
  <si>
    <t>GL Balance</t>
  </si>
  <si>
    <t>Supporting Balance</t>
  </si>
  <si>
    <t>Difference</t>
  </si>
  <si>
    <t>Status</t>
  </si>
  <si>
    <t>Investigation / Action</t>
  </si>
  <si>
    <t>Agree to bank statement; investigate timing items</t>
  </si>
  <si>
    <t>Agree aged receivables to customer ledger</t>
  </si>
  <si>
    <t>Recalculate remaining insurance prepayment</t>
  </si>
  <si>
    <t>Agree additions to invoice/fixed asset register</t>
  </si>
  <si>
    <t>Agree monthly depreciation calculation</t>
  </si>
  <si>
    <t>Agree supplier ledger and unpaid invoices</t>
  </si>
  <si>
    <t>Agree accrual support and reverse when invoiced</t>
  </si>
  <si>
    <t>Statement of Profit or Loss</t>
  </si>
  <si>
    <t>September 2026</t>
  </si>
  <si>
    <t>Line Item</t>
  </si>
  <si>
    <t>Amount</t>
  </si>
  <si>
    <t>Operating / Net Profit</t>
  </si>
  <si>
    <t>Statement of Financial Position</t>
  </si>
  <si>
    <t>As at 30 September 2026</t>
  </si>
  <si>
    <t>Assets</t>
  </si>
  <si>
    <t>Less: Accumulated Depreciation</t>
  </si>
  <si>
    <t>Total Assets</t>
  </si>
  <si>
    <t>Liabilities &amp; Equity</t>
  </si>
  <si>
    <t>Retained Earnings / Current Profit</t>
  </si>
  <si>
    <t>Total Liabilities &amp; Equity</t>
  </si>
  <si>
    <t>Balance Check</t>
  </si>
  <si>
    <t>Cash Flow Summary</t>
  </si>
  <si>
    <t>September 2026 indirect-style management summary</t>
  </si>
  <si>
    <t>Cash Flow Item</t>
  </si>
  <si>
    <t>Opening Cash</t>
  </si>
  <si>
    <t>Net Profit</t>
  </si>
  <si>
    <t>Increase in Trade Receivables</t>
  </si>
  <si>
    <t>Increase in Prepayments</t>
  </si>
  <si>
    <t>Increase in Trade Payables</t>
  </si>
  <si>
    <t>Increase in Accrued Expenses</t>
  </si>
  <si>
    <t>Capital Expenditure</t>
  </si>
  <si>
    <t>Share Capital Funding</t>
  </si>
  <si>
    <t>Closing Cash</t>
  </si>
  <si>
    <t>P&amp;L Variance Analysis</t>
  </si>
  <si>
    <t>Actual vs budget – management review</t>
  </si>
  <si>
    <t>Actual</t>
  </si>
  <si>
    <t>Budget</t>
  </si>
  <si>
    <t>Variance</t>
  </si>
  <si>
    <t>Variance %</t>
  </si>
  <si>
    <t>Comment</t>
  </si>
  <si>
    <t>Review material variance; document root cause and corrective action.</t>
  </si>
  <si>
    <t>Month-End Close Checklist</t>
  </si>
  <si>
    <t>Control-focused close tracker</t>
  </si>
  <si>
    <t>Task</t>
  </si>
  <si>
    <t>Owner</t>
  </si>
  <si>
    <t>Due</t>
  </si>
  <si>
    <t>Evidence / Comment</t>
  </si>
  <si>
    <t>Obtain final GL and confirm completeness</t>
  </si>
  <si>
    <t>GL Accountant</t>
  </si>
  <si>
    <t>01/10/2026</t>
  </si>
  <si>
    <t>Complete</t>
  </si>
  <si>
    <t>GL imported and reviewed</t>
  </si>
  <si>
    <t>Post accruals and prepayments</t>
  </si>
  <si>
    <t>Financial Accountant</t>
  </si>
  <si>
    <t>AJ001–AJ005 posted</t>
  </si>
  <si>
    <t>Reconcile bank</t>
  </si>
  <si>
    <t>02/10/2026</t>
  </si>
  <si>
    <t>Bank balance agreed</t>
  </si>
  <si>
    <t>Reconcile AR</t>
  </si>
  <si>
    <t>Customer ledger agreed</t>
  </si>
  <si>
    <t>Reconcile AP</t>
  </si>
  <si>
    <t>Supplier ledger agreed</t>
  </si>
  <si>
    <t>Review fixed assets and depreciation</t>
  </si>
  <si>
    <t>Depreciation journal posted</t>
  </si>
  <si>
    <t>Review balance sheet reconciliations</t>
  </si>
  <si>
    <t>Finance Manager</t>
  </si>
  <si>
    <t>03/10/2026</t>
  </si>
  <si>
    <t>In Review</t>
  </si>
  <si>
    <t>Review outstanding differences</t>
  </si>
  <si>
    <t>Prepare management P&amp;L</t>
  </si>
  <si>
    <t>P&amp;L and variance analysis</t>
  </si>
  <si>
    <t>Prepare balance sheet</t>
  </si>
  <si>
    <t>Balance check performed</t>
  </si>
  <si>
    <t>Management review and sign-off</t>
  </si>
  <si>
    <t>05/10/2026</t>
  </si>
  <si>
    <t>Pending</t>
  </si>
  <si>
    <t>Final sign-off required</t>
  </si>
  <si>
    <t>Management Summary</t>
  </si>
  <si>
    <t>Executive review of September 2026 financial performance</t>
  </si>
  <si>
    <t>Total Operating Costs</t>
  </si>
  <si>
    <t>Balance Sheet Check</t>
  </si>
  <si>
    <t>Key management observations</t>
  </si>
  <si>
    <t>• Revenue is below the £100k budget and should be investigated with the commercial team.</t>
  </si>
  <si>
    <t>• Software and professional fees are above budget and should be reviewed for recurring or one-off costs.</t>
  </si>
  <si>
    <t>• Closing cash is supported by customer receipts and new share capital funding.</t>
  </si>
  <si>
    <t>• All material balance-sheet accounts should have evidence attached to the reconciliation.</t>
  </si>
  <si>
    <t>• Month-end close should be supported by documented review and sign-off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</si>
</sst>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b/>
      <sz val="13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4" fontId="3" fillId="0" borderId="0" xfId="0" applyNumberFormat="1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Table" displayName="GLTable" ref="A3:H28">
  <autoFilter ref="A3:H28" xr:uid="{00000000-0009-0000-0100-000001000000}"/>
  <tableColumns count="8">
    <tableColumn id="1" xr3:uid="{00000000-0010-0000-0000-000001000000}" name="Date"/>
    <tableColumn id="2" xr3:uid="{00000000-0010-0000-0000-000002000000}" name="Entity"/>
    <tableColumn id="3" xr3:uid="{00000000-0010-0000-0000-000003000000}" name="Account Code"/>
    <tableColumn id="4" xr3:uid="{00000000-0010-0000-0000-000004000000}" name="Account Name"/>
    <tableColumn id="5" xr3:uid="{00000000-0010-0000-0000-000005000000}" name="Type"/>
    <tableColumn id="6" xr3:uid="{00000000-0010-0000-0000-000006000000}" name="Description"/>
    <tableColumn id="7" xr3:uid="{00000000-0010-0000-0000-000007000000}" name="Debit"/>
    <tableColumn id="8" xr3:uid="{00000000-0010-0000-0000-000008000000}" name="Cred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ournalTable" displayName="JournalTable" ref="A3:H13">
  <autoFilter ref="A3:H13" xr:uid="{00000000-0009-0000-0100-000002000000}"/>
  <tableColumns count="8">
    <tableColumn id="1" xr3:uid="{00000000-0010-0000-0100-000001000000}" name="JE No."/>
    <tableColumn id="2" xr3:uid="{00000000-0010-0000-0100-000002000000}" name="Date"/>
    <tableColumn id="3" xr3:uid="{00000000-0010-0000-0100-000003000000}" name="Account Code"/>
    <tableColumn id="4" xr3:uid="{00000000-0010-0000-0100-000004000000}" name="Account Name"/>
    <tableColumn id="5" xr3:uid="{00000000-0010-0000-0100-000005000000}" name="Description"/>
    <tableColumn id="6" xr3:uid="{00000000-0010-0000-0100-000006000000}" name="Debit"/>
    <tableColumn id="7" xr3:uid="{00000000-0010-0000-0100-000007000000}" name="Credit"/>
    <tableColumn id="8" xr3:uid="{00000000-0010-0000-0100-000008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workbookViewId="0">
      <pane ySplit="2" topLeftCell="A3" activePane="bottomLeft" state="frozen"/>
      <selection pane="bottomLeft" activeCell="B16" sqref="B16"/>
    </sheetView>
  </sheetViews>
  <sheetFormatPr defaultRowHeight="15" x14ac:dyDescent="0.25"/>
  <cols>
    <col min="1" max="1" width="28" customWidth="1"/>
    <col min="2" max="2" width="100" customWidth="1"/>
  </cols>
  <sheetData>
    <row r="1" spans="1:6" x14ac:dyDescent="0.25">
      <c r="A1" s="12" t="s">
        <v>0</v>
      </c>
      <c r="B1" s="11"/>
      <c r="C1" s="11"/>
      <c r="D1" s="11"/>
      <c r="E1" s="11"/>
      <c r="F1" s="11"/>
    </row>
    <row r="2" spans="1:6" x14ac:dyDescent="0.25">
      <c r="A2" s="10" t="s">
        <v>1</v>
      </c>
      <c r="B2" s="11"/>
      <c r="C2" s="11"/>
      <c r="D2" s="11"/>
      <c r="E2" s="11"/>
      <c r="F2" s="1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2</v>
      </c>
      <c r="B4" s="3" t="s">
        <v>3</v>
      </c>
      <c r="C4" s="1"/>
      <c r="D4" s="1"/>
      <c r="E4" s="1"/>
      <c r="F4" s="1"/>
    </row>
    <row r="5" spans="1:6" x14ac:dyDescent="0.25">
      <c r="A5" s="2" t="s">
        <v>4</v>
      </c>
      <c r="B5" s="3" t="s">
        <v>5</v>
      </c>
      <c r="C5" s="1"/>
      <c r="D5" s="1"/>
      <c r="E5" s="1"/>
      <c r="F5" s="1"/>
    </row>
    <row r="6" spans="1:6" x14ac:dyDescent="0.25">
      <c r="A6" s="2" t="s">
        <v>6</v>
      </c>
      <c r="B6" s="3" t="s">
        <v>7</v>
      </c>
      <c r="C6" s="1"/>
      <c r="D6" s="1"/>
      <c r="E6" s="1"/>
      <c r="F6" s="1"/>
    </row>
    <row r="7" spans="1:6" x14ac:dyDescent="0.25">
      <c r="A7" s="2" t="s">
        <v>8</v>
      </c>
      <c r="B7" s="3" t="s">
        <v>9</v>
      </c>
      <c r="C7" s="1"/>
      <c r="D7" s="1"/>
      <c r="E7" s="1"/>
      <c r="F7" s="1"/>
    </row>
    <row r="8" spans="1:6" ht="30" x14ac:dyDescent="0.25">
      <c r="A8" s="2" t="s">
        <v>10</v>
      </c>
      <c r="B8" s="3" t="s">
        <v>11</v>
      </c>
      <c r="C8" s="1"/>
      <c r="D8" s="1"/>
      <c r="E8" s="1"/>
      <c r="F8" s="1"/>
    </row>
    <row r="9" spans="1:6" x14ac:dyDescent="0.25">
      <c r="A9" s="2" t="s">
        <v>12</v>
      </c>
      <c r="B9" s="3" t="s">
        <v>13</v>
      </c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ht="17.25" x14ac:dyDescent="0.25">
      <c r="A12" s="4" t="s">
        <v>14</v>
      </c>
      <c r="B12" s="1"/>
      <c r="C12" s="1"/>
      <c r="D12" s="1"/>
      <c r="E12" s="1"/>
      <c r="F12" s="1"/>
    </row>
    <row r="13" spans="1:6" x14ac:dyDescent="0.25">
      <c r="A13" s="1" t="s">
        <v>15</v>
      </c>
      <c r="B13" s="1"/>
      <c r="C13" s="1"/>
      <c r="D13" s="1"/>
      <c r="E13" s="1"/>
      <c r="F13" s="1"/>
    </row>
    <row r="14" spans="1:6" x14ac:dyDescent="0.25">
      <c r="A14" s="1" t="s">
        <v>16</v>
      </c>
      <c r="B14" s="1"/>
      <c r="C14" s="1"/>
      <c r="D14" s="1"/>
      <c r="E14" s="1"/>
      <c r="F14" s="1"/>
    </row>
    <row r="15" spans="1:6" ht="30" x14ac:dyDescent="0.25">
      <c r="A15" s="1" t="s">
        <v>17</v>
      </c>
      <c r="B15" s="1"/>
      <c r="C15" s="1"/>
      <c r="D15" s="1"/>
      <c r="E15" s="1"/>
      <c r="F15" s="1"/>
    </row>
    <row r="16" spans="1:6" ht="30" x14ac:dyDescent="0.25">
      <c r="A16" s="1" t="s">
        <v>18</v>
      </c>
      <c r="B16" s="1"/>
      <c r="C16" s="1"/>
      <c r="D16" s="1"/>
      <c r="E16" s="1"/>
      <c r="F16" s="1"/>
    </row>
    <row r="17" spans="1:6" ht="30" x14ac:dyDescent="0.25">
      <c r="A17" s="1" t="s">
        <v>19</v>
      </c>
      <c r="B17" s="1"/>
      <c r="C17" s="1"/>
      <c r="D17" s="1"/>
      <c r="E17" s="1"/>
      <c r="F17" s="1"/>
    </row>
    <row r="18" spans="1:6" ht="30" x14ac:dyDescent="0.25">
      <c r="A18" s="1" t="s">
        <v>20</v>
      </c>
      <c r="B18" s="1"/>
      <c r="C18" s="1"/>
      <c r="D18" s="1"/>
      <c r="E18" s="1"/>
      <c r="F18" s="1"/>
    </row>
    <row r="19" spans="1:6" x14ac:dyDescent="0.25">
      <c r="A19" s="1" t="s">
        <v>21</v>
      </c>
      <c r="B19" s="1"/>
      <c r="C19" s="1"/>
      <c r="D19" s="1"/>
      <c r="E19" s="1"/>
      <c r="F19" s="1"/>
    </row>
    <row r="20" spans="1:6" ht="45" x14ac:dyDescent="0.25">
      <c r="A20" s="1" t="s">
        <v>22</v>
      </c>
      <c r="B20" s="1"/>
      <c r="C20" s="1"/>
      <c r="D20" s="1"/>
      <c r="E20" s="1"/>
      <c r="F20" s="1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13" customWidth="1"/>
    <col min="2" max="2" width="22" customWidth="1"/>
    <col min="3" max="3" width="13" customWidth="1"/>
    <col min="4" max="4" width="24" customWidth="1"/>
    <col min="5" max="5" width="10" customWidth="1"/>
    <col min="6" max="6" width="35" customWidth="1"/>
    <col min="7" max="8" width="15" customWidth="1"/>
  </cols>
  <sheetData>
    <row r="1" spans="1:8" x14ac:dyDescent="0.25">
      <c r="A1" s="12" t="s">
        <v>23</v>
      </c>
      <c r="B1" s="11"/>
      <c r="C1" s="11"/>
      <c r="D1" s="11"/>
      <c r="E1" s="11"/>
      <c r="F1" s="11"/>
      <c r="G1" s="11"/>
      <c r="H1" s="11"/>
    </row>
    <row r="2" spans="1:8" x14ac:dyDescent="0.25">
      <c r="A2" s="10" t="s">
        <v>24</v>
      </c>
      <c r="B2" s="11"/>
      <c r="C2" s="11"/>
      <c r="D2" s="11"/>
      <c r="E2" s="11"/>
      <c r="F2" s="11"/>
      <c r="G2" s="11"/>
      <c r="H2" s="11"/>
    </row>
    <row r="3" spans="1:8" ht="30" x14ac:dyDescent="0.25">
      <c r="A3" s="5" t="s">
        <v>25</v>
      </c>
      <c r="B3" s="5" t="s">
        <v>8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</row>
    <row r="4" spans="1:8" x14ac:dyDescent="0.2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6">
        <v>150000</v>
      </c>
      <c r="H4" s="6">
        <v>0</v>
      </c>
    </row>
    <row r="5" spans="1:8" x14ac:dyDescent="0.25">
      <c r="A5" s="1" t="s">
        <v>38</v>
      </c>
      <c r="B5" s="1" t="s">
        <v>33</v>
      </c>
      <c r="C5" s="1" t="s">
        <v>39</v>
      </c>
      <c r="D5" s="1" t="s">
        <v>40</v>
      </c>
      <c r="E5" s="1" t="s">
        <v>41</v>
      </c>
      <c r="F5" s="1" t="s">
        <v>42</v>
      </c>
      <c r="G5" s="6">
        <v>0</v>
      </c>
      <c r="H5" s="6">
        <v>95000</v>
      </c>
    </row>
    <row r="6" spans="1:8" x14ac:dyDescent="0.25">
      <c r="A6" s="1" t="s">
        <v>43</v>
      </c>
      <c r="B6" s="1" t="s">
        <v>33</v>
      </c>
      <c r="C6" s="1" t="s">
        <v>44</v>
      </c>
      <c r="D6" s="1" t="s">
        <v>45</v>
      </c>
      <c r="E6" s="1" t="s">
        <v>41</v>
      </c>
      <c r="F6" s="1" t="s">
        <v>46</v>
      </c>
      <c r="G6" s="6">
        <v>42000</v>
      </c>
      <c r="H6" s="6">
        <v>0</v>
      </c>
    </row>
    <row r="7" spans="1:8" x14ac:dyDescent="0.25">
      <c r="A7" s="1" t="s">
        <v>47</v>
      </c>
      <c r="B7" s="1" t="s">
        <v>33</v>
      </c>
      <c r="C7" s="1" t="s">
        <v>48</v>
      </c>
      <c r="D7" s="1" t="s">
        <v>49</v>
      </c>
      <c r="E7" s="1" t="s">
        <v>41</v>
      </c>
      <c r="F7" s="1" t="s">
        <v>50</v>
      </c>
      <c r="G7" s="6">
        <v>18000</v>
      </c>
      <c r="H7" s="6">
        <v>0</v>
      </c>
    </row>
    <row r="8" spans="1:8" x14ac:dyDescent="0.25">
      <c r="A8" s="1" t="s">
        <v>51</v>
      </c>
      <c r="B8" s="1" t="s">
        <v>33</v>
      </c>
      <c r="C8" s="1" t="s">
        <v>52</v>
      </c>
      <c r="D8" s="1" t="s">
        <v>53</v>
      </c>
      <c r="E8" s="1" t="s">
        <v>41</v>
      </c>
      <c r="F8" s="1" t="s">
        <v>54</v>
      </c>
      <c r="G8" s="6">
        <v>2500</v>
      </c>
      <c r="H8" s="6">
        <v>0</v>
      </c>
    </row>
    <row r="9" spans="1:8" x14ac:dyDescent="0.25">
      <c r="A9" s="1" t="s">
        <v>55</v>
      </c>
      <c r="B9" s="1" t="s">
        <v>33</v>
      </c>
      <c r="C9" s="1" t="s">
        <v>56</v>
      </c>
      <c r="D9" s="1" t="s">
        <v>57</v>
      </c>
      <c r="E9" s="1" t="s">
        <v>41</v>
      </c>
      <c r="F9" s="1" t="s">
        <v>58</v>
      </c>
      <c r="G9" s="6">
        <v>3500</v>
      </c>
      <c r="H9" s="6">
        <v>0</v>
      </c>
    </row>
    <row r="10" spans="1:8" x14ac:dyDescent="0.25">
      <c r="A10" s="1" t="s">
        <v>59</v>
      </c>
      <c r="B10" s="1" t="s">
        <v>33</v>
      </c>
      <c r="C10" s="1" t="s">
        <v>60</v>
      </c>
      <c r="D10" s="1" t="s">
        <v>61</v>
      </c>
      <c r="E10" s="1" t="s">
        <v>41</v>
      </c>
      <c r="F10" s="1" t="s">
        <v>62</v>
      </c>
      <c r="G10" s="6">
        <v>2200</v>
      </c>
      <c r="H10" s="6">
        <v>0</v>
      </c>
    </row>
    <row r="11" spans="1:8" x14ac:dyDescent="0.25">
      <c r="A11" s="1" t="s">
        <v>63</v>
      </c>
      <c r="B11" s="1" t="s">
        <v>33</v>
      </c>
      <c r="C11" s="1" t="s">
        <v>64</v>
      </c>
      <c r="D11" s="1" t="s">
        <v>65</v>
      </c>
      <c r="E11" s="1" t="s">
        <v>41</v>
      </c>
      <c r="F11" s="1" t="s">
        <v>66</v>
      </c>
      <c r="G11" s="6">
        <v>3000</v>
      </c>
      <c r="H11" s="6">
        <v>0</v>
      </c>
    </row>
    <row r="12" spans="1:8" x14ac:dyDescent="0.25">
      <c r="A12" s="1" t="s">
        <v>67</v>
      </c>
      <c r="B12" s="1" t="s">
        <v>33</v>
      </c>
      <c r="C12" s="1" t="s">
        <v>68</v>
      </c>
      <c r="D12" s="1" t="s">
        <v>69</v>
      </c>
      <c r="E12" s="1" t="s">
        <v>36</v>
      </c>
      <c r="F12" s="1" t="s">
        <v>70</v>
      </c>
      <c r="G12" s="6">
        <v>95000</v>
      </c>
      <c r="H12" s="6">
        <v>0</v>
      </c>
    </row>
    <row r="13" spans="1:8" x14ac:dyDescent="0.25">
      <c r="A13" s="1" t="s">
        <v>71</v>
      </c>
      <c r="B13" s="1" t="s">
        <v>33</v>
      </c>
      <c r="C13" s="1" t="s">
        <v>34</v>
      </c>
      <c r="D13" s="1" t="s">
        <v>35</v>
      </c>
      <c r="E13" s="1" t="s">
        <v>36</v>
      </c>
      <c r="F13" s="1" t="s">
        <v>72</v>
      </c>
      <c r="G13" s="6">
        <v>70000</v>
      </c>
      <c r="H13" s="6">
        <v>0</v>
      </c>
    </row>
    <row r="14" spans="1:8" x14ac:dyDescent="0.25">
      <c r="A14" s="1" t="s">
        <v>71</v>
      </c>
      <c r="B14" s="1" t="s">
        <v>33</v>
      </c>
      <c r="C14" s="1" t="s">
        <v>68</v>
      </c>
      <c r="D14" s="1" t="s">
        <v>69</v>
      </c>
      <c r="E14" s="1" t="s">
        <v>36</v>
      </c>
      <c r="F14" s="1" t="s">
        <v>72</v>
      </c>
      <c r="G14" s="6">
        <v>0</v>
      </c>
      <c r="H14" s="6">
        <v>70000</v>
      </c>
    </row>
    <row r="15" spans="1:8" x14ac:dyDescent="0.25">
      <c r="A15" s="1" t="s">
        <v>73</v>
      </c>
      <c r="B15" s="1" t="s">
        <v>33</v>
      </c>
      <c r="C15" s="1" t="s">
        <v>74</v>
      </c>
      <c r="D15" s="1" t="s">
        <v>75</v>
      </c>
      <c r="E15" s="1" t="s">
        <v>36</v>
      </c>
      <c r="F15" s="1" t="s">
        <v>76</v>
      </c>
      <c r="G15" s="6">
        <v>0</v>
      </c>
      <c r="H15" s="6">
        <v>42000</v>
      </c>
    </row>
    <row r="16" spans="1:8" x14ac:dyDescent="0.25">
      <c r="A16" s="1" t="s">
        <v>77</v>
      </c>
      <c r="B16" s="1" t="s">
        <v>33</v>
      </c>
      <c r="C16" s="1" t="s">
        <v>34</v>
      </c>
      <c r="D16" s="1" t="s">
        <v>35</v>
      </c>
      <c r="E16" s="1" t="s">
        <v>36</v>
      </c>
      <c r="F16" s="1" t="s">
        <v>78</v>
      </c>
      <c r="G16" s="6">
        <v>0</v>
      </c>
      <c r="H16" s="6">
        <v>25000</v>
      </c>
    </row>
    <row r="17" spans="1:8" x14ac:dyDescent="0.25">
      <c r="A17" s="1" t="s">
        <v>77</v>
      </c>
      <c r="B17" s="1" t="s">
        <v>33</v>
      </c>
      <c r="C17" s="1" t="s">
        <v>74</v>
      </c>
      <c r="D17" s="1" t="s">
        <v>75</v>
      </c>
      <c r="E17" s="1" t="s">
        <v>36</v>
      </c>
      <c r="F17" s="1" t="s">
        <v>78</v>
      </c>
      <c r="G17" s="6">
        <v>25000</v>
      </c>
      <c r="H17" s="6">
        <v>0</v>
      </c>
    </row>
    <row r="18" spans="1:8" x14ac:dyDescent="0.25">
      <c r="A18" s="1" t="s">
        <v>79</v>
      </c>
      <c r="B18" s="1" t="s">
        <v>33</v>
      </c>
      <c r="C18" s="1" t="s">
        <v>80</v>
      </c>
      <c r="D18" s="1" t="s">
        <v>81</v>
      </c>
      <c r="E18" s="1" t="s">
        <v>41</v>
      </c>
      <c r="F18" s="1" t="s">
        <v>82</v>
      </c>
      <c r="G18" s="6">
        <v>1800</v>
      </c>
      <c r="H18" s="6">
        <v>0</v>
      </c>
    </row>
    <row r="19" spans="1:8" x14ac:dyDescent="0.25">
      <c r="A19" s="1" t="s">
        <v>83</v>
      </c>
      <c r="B19" s="1" t="s">
        <v>33</v>
      </c>
      <c r="C19" s="1" t="s">
        <v>84</v>
      </c>
      <c r="D19" s="1" t="s">
        <v>85</v>
      </c>
      <c r="E19" s="1" t="s">
        <v>36</v>
      </c>
      <c r="F19" s="1" t="s">
        <v>86</v>
      </c>
      <c r="G19" s="6">
        <v>12000</v>
      </c>
      <c r="H19" s="6">
        <v>0</v>
      </c>
    </row>
    <row r="20" spans="1:8" x14ac:dyDescent="0.25">
      <c r="A20" s="1" t="s">
        <v>83</v>
      </c>
      <c r="B20" s="1" t="s">
        <v>33</v>
      </c>
      <c r="C20" s="1" t="s">
        <v>34</v>
      </c>
      <c r="D20" s="1" t="s">
        <v>35</v>
      </c>
      <c r="E20" s="1" t="s">
        <v>36</v>
      </c>
      <c r="F20" s="1" t="s">
        <v>86</v>
      </c>
      <c r="G20" s="6">
        <v>0</v>
      </c>
      <c r="H20" s="6">
        <v>12000</v>
      </c>
    </row>
    <row r="21" spans="1:8" x14ac:dyDescent="0.25">
      <c r="A21" s="1" t="s">
        <v>87</v>
      </c>
      <c r="B21" s="1" t="s">
        <v>33</v>
      </c>
      <c r="C21" s="1" t="s">
        <v>88</v>
      </c>
      <c r="D21" s="1" t="s">
        <v>89</v>
      </c>
      <c r="E21" s="1" t="s">
        <v>36</v>
      </c>
      <c r="F21" s="1" t="s">
        <v>90</v>
      </c>
      <c r="G21" s="6">
        <v>10000</v>
      </c>
      <c r="H21" s="6">
        <v>0</v>
      </c>
    </row>
    <row r="22" spans="1:8" x14ac:dyDescent="0.25">
      <c r="A22" s="1" t="s">
        <v>87</v>
      </c>
      <c r="B22" s="1" t="s">
        <v>33</v>
      </c>
      <c r="C22" s="1" t="s">
        <v>34</v>
      </c>
      <c r="D22" s="1" t="s">
        <v>35</v>
      </c>
      <c r="E22" s="1" t="s">
        <v>36</v>
      </c>
      <c r="F22" s="1" t="s">
        <v>90</v>
      </c>
      <c r="G22" s="6">
        <v>0</v>
      </c>
      <c r="H22" s="6">
        <v>10000</v>
      </c>
    </row>
    <row r="23" spans="1:8" x14ac:dyDescent="0.25">
      <c r="A23" s="1" t="s">
        <v>91</v>
      </c>
      <c r="B23" s="1" t="s">
        <v>33</v>
      </c>
      <c r="C23" s="1" t="s">
        <v>34</v>
      </c>
      <c r="D23" s="1" t="s">
        <v>35</v>
      </c>
      <c r="E23" s="1" t="s">
        <v>36</v>
      </c>
      <c r="F23" s="1" t="s">
        <v>92</v>
      </c>
      <c r="G23" s="6">
        <v>50000</v>
      </c>
      <c r="H23" s="6">
        <v>0</v>
      </c>
    </row>
    <row r="24" spans="1:8" x14ac:dyDescent="0.25">
      <c r="A24" s="1" t="s">
        <v>91</v>
      </c>
      <c r="B24" s="1" t="s">
        <v>33</v>
      </c>
      <c r="C24" s="1" t="s">
        <v>93</v>
      </c>
      <c r="D24" s="1" t="s">
        <v>94</v>
      </c>
      <c r="E24" s="1" t="s">
        <v>36</v>
      </c>
      <c r="F24" s="1" t="s">
        <v>92</v>
      </c>
      <c r="G24" s="6">
        <v>0</v>
      </c>
      <c r="H24" s="6">
        <v>50000</v>
      </c>
    </row>
    <row r="25" spans="1:8" x14ac:dyDescent="0.25">
      <c r="A25" s="1" t="s">
        <v>95</v>
      </c>
      <c r="B25" s="1" t="s">
        <v>33</v>
      </c>
      <c r="C25" s="1" t="s">
        <v>96</v>
      </c>
      <c r="D25" s="1" t="s">
        <v>97</v>
      </c>
      <c r="E25" s="1" t="s">
        <v>41</v>
      </c>
      <c r="F25" s="1" t="s">
        <v>98</v>
      </c>
      <c r="G25" s="6">
        <v>450</v>
      </c>
      <c r="H25" s="6">
        <v>0</v>
      </c>
    </row>
    <row r="26" spans="1:8" x14ac:dyDescent="0.25">
      <c r="A26" s="1" t="s">
        <v>95</v>
      </c>
      <c r="B26" s="1" t="s">
        <v>33</v>
      </c>
      <c r="C26" s="1" t="s">
        <v>34</v>
      </c>
      <c r="D26" s="1" t="s">
        <v>35</v>
      </c>
      <c r="E26" s="1" t="s">
        <v>36</v>
      </c>
      <c r="F26" s="1" t="s">
        <v>98</v>
      </c>
      <c r="G26" s="6">
        <v>0</v>
      </c>
      <c r="H26" s="6">
        <v>450</v>
      </c>
    </row>
    <row r="27" spans="1:8" x14ac:dyDescent="0.25">
      <c r="A27" s="1" t="s">
        <v>99</v>
      </c>
      <c r="B27" s="1" t="s">
        <v>33</v>
      </c>
      <c r="C27" s="1" t="s">
        <v>100</v>
      </c>
      <c r="D27" s="1" t="s">
        <v>101</v>
      </c>
      <c r="E27" s="1" t="s">
        <v>41</v>
      </c>
      <c r="F27" s="1" t="s">
        <v>102</v>
      </c>
      <c r="G27" s="6">
        <v>0</v>
      </c>
      <c r="H27" s="6">
        <v>1200</v>
      </c>
    </row>
    <row r="28" spans="1:8" x14ac:dyDescent="0.25">
      <c r="A28" s="1" t="s">
        <v>99</v>
      </c>
      <c r="B28" s="1" t="s">
        <v>33</v>
      </c>
      <c r="C28" s="1" t="s">
        <v>34</v>
      </c>
      <c r="D28" s="1" t="s">
        <v>35</v>
      </c>
      <c r="E28" s="1" t="s">
        <v>36</v>
      </c>
      <c r="F28" s="1" t="s">
        <v>102</v>
      </c>
      <c r="G28" s="6">
        <v>1200</v>
      </c>
      <c r="H28" s="6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10" customWidth="1"/>
    <col min="2" max="3" width="13" customWidth="1"/>
    <col min="4" max="4" width="25" customWidth="1"/>
    <col min="5" max="5" width="42" customWidth="1"/>
    <col min="6" max="7" width="15" customWidth="1"/>
    <col min="8" max="8" width="22" customWidth="1"/>
  </cols>
  <sheetData>
    <row r="1" spans="1:8" x14ac:dyDescent="0.25">
      <c r="A1" s="12" t="s">
        <v>103</v>
      </c>
      <c r="B1" s="11"/>
      <c r="C1" s="11"/>
      <c r="D1" s="11"/>
      <c r="E1" s="11"/>
      <c r="F1" s="11"/>
      <c r="G1" s="11"/>
      <c r="H1" s="11"/>
    </row>
    <row r="2" spans="1:8" x14ac:dyDescent="0.25">
      <c r="A2" s="10" t="s">
        <v>104</v>
      </c>
      <c r="B2" s="11"/>
      <c r="C2" s="11"/>
      <c r="D2" s="11"/>
      <c r="E2" s="11"/>
      <c r="F2" s="11"/>
      <c r="G2" s="11"/>
      <c r="H2" s="11"/>
    </row>
    <row r="3" spans="1:8" ht="30" x14ac:dyDescent="0.25">
      <c r="A3" s="5" t="s">
        <v>105</v>
      </c>
      <c r="B3" s="5" t="s">
        <v>25</v>
      </c>
      <c r="C3" s="5" t="s">
        <v>26</v>
      </c>
      <c r="D3" s="5" t="s">
        <v>27</v>
      </c>
      <c r="E3" s="5" t="s">
        <v>29</v>
      </c>
      <c r="F3" s="5" t="s">
        <v>30</v>
      </c>
      <c r="G3" s="5" t="s">
        <v>31</v>
      </c>
      <c r="H3" s="5" t="s">
        <v>106</v>
      </c>
    </row>
    <row r="4" spans="1:8" ht="30" x14ac:dyDescent="0.25">
      <c r="A4" s="1" t="s">
        <v>107</v>
      </c>
      <c r="B4" s="1" t="s">
        <v>108</v>
      </c>
      <c r="C4" s="1" t="s">
        <v>60</v>
      </c>
      <c r="D4" s="1" t="s">
        <v>61</v>
      </c>
      <c r="E4" s="1" t="s">
        <v>109</v>
      </c>
      <c r="F4" s="6">
        <v>800</v>
      </c>
      <c r="G4" s="6">
        <v>0</v>
      </c>
      <c r="H4" s="1" t="s">
        <v>110</v>
      </c>
    </row>
    <row r="5" spans="1:8" ht="30" x14ac:dyDescent="0.25">
      <c r="A5" s="1" t="s">
        <v>107</v>
      </c>
      <c r="B5" s="1" t="s">
        <v>108</v>
      </c>
      <c r="C5" s="1" t="s">
        <v>111</v>
      </c>
      <c r="D5" s="1" t="s">
        <v>112</v>
      </c>
      <c r="E5" s="1" t="s">
        <v>109</v>
      </c>
      <c r="F5" s="6">
        <v>0</v>
      </c>
      <c r="G5" s="6">
        <v>800</v>
      </c>
      <c r="H5" s="1" t="s">
        <v>110</v>
      </c>
    </row>
    <row r="6" spans="1:8" x14ac:dyDescent="0.25">
      <c r="A6" s="1" t="s">
        <v>113</v>
      </c>
      <c r="B6" s="1" t="s">
        <v>108</v>
      </c>
      <c r="C6" s="1" t="s">
        <v>56</v>
      </c>
      <c r="D6" s="1" t="s">
        <v>57</v>
      </c>
      <c r="E6" s="1" t="s">
        <v>114</v>
      </c>
      <c r="F6" s="6">
        <v>1200</v>
      </c>
      <c r="G6" s="6">
        <v>0</v>
      </c>
      <c r="H6" s="1" t="s">
        <v>110</v>
      </c>
    </row>
    <row r="7" spans="1:8" x14ac:dyDescent="0.25">
      <c r="A7" s="1" t="s">
        <v>113</v>
      </c>
      <c r="B7" s="1" t="s">
        <v>108</v>
      </c>
      <c r="C7" s="1" t="s">
        <v>111</v>
      </c>
      <c r="D7" s="1" t="s">
        <v>112</v>
      </c>
      <c r="E7" s="1" t="s">
        <v>114</v>
      </c>
      <c r="F7" s="6">
        <v>0</v>
      </c>
      <c r="G7" s="6">
        <v>1200</v>
      </c>
      <c r="H7" s="1" t="s">
        <v>110</v>
      </c>
    </row>
    <row r="8" spans="1:8" x14ac:dyDescent="0.25">
      <c r="A8" s="1" t="s">
        <v>115</v>
      </c>
      <c r="B8" s="1" t="s">
        <v>108</v>
      </c>
      <c r="C8" s="1" t="s">
        <v>96</v>
      </c>
      <c r="D8" s="1" t="s">
        <v>116</v>
      </c>
      <c r="E8" s="1" t="s">
        <v>117</v>
      </c>
      <c r="F8" s="6">
        <v>200</v>
      </c>
      <c r="G8" s="6">
        <v>0</v>
      </c>
      <c r="H8" s="1" t="s">
        <v>116</v>
      </c>
    </row>
    <row r="9" spans="1:8" x14ac:dyDescent="0.25">
      <c r="A9" s="1" t="s">
        <v>115</v>
      </c>
      <c r="B9" s="1" t="s">
        <v>108</v>
      </c>
      <c r="C9" s="1" t="s">
        <v>118</v>
      </c>
      <c r="D9" s="1" t="s">
        <v>119</v>
      </c>
      <c r="E9" s="1" t="s">
        <v>117</v>
      </c>
      <c r="F9" s="6">
        <v>0</v>
      </c>
      <c r="G9" s="6">
        <v>200</v>
      </c>
      <c r="H9" s="1" t="s">
        <v>116</v>
      </c>
    </row>
    <row r="10" spans="1:8" ht="30" x14ac:dyDescent="0.25">
      <c r="A10" s="1" t="s">
        <v>120</v>
      </c>
      <c r="B10" s="1" t="s">
        <v>108</v>
      </c>
      <c r="C10" s="1" t="s">
        <v>56</v>
      </c>
      <c r="D10" s="1" t="s">
        <v>57</v>
      </c>
      <c r="E10" s="1" t="s">
        <v>121</v>
      </c>
      <c r="F10" s="6">
        <v>1000</v>
      </c>
      <c r="G10" s="6">
        <v>0</v>
      </c>
      <c r="H10" s="1" t="s">
        <v>122</v>
      </c>
    </row>
    <row r="11" spans="1:8" ht="30" x14ac:dyDescent="0.25">
      <c r="A11" s="1" t="s">
        <v>120</v>
      </c>
      <c r="B11" s="1" t="s">
        <v>108</v>
      </c>
      <c r="C11" s="1" t="s">
        <v>84</v>
      </c>
      <c r="D11" s="1" t="s">
        <v>85</v>
      </c>
      <c r="E11" s="1" t="s">
        <v>121</v>
      </c>
      <c r="F11" s="6">
        <v>0</v>
      </c>
      <c r="G11" s="6">
        <v>1000</v>
      </c>
      <c r="H11" s="1" t="s">
        <v>122</v>
      </c>
    </row>
    <row r="12" spans="1:8" x14ac:dyDescent="0.25">
      <c r="A12" s="1" t="s">
        <v>123</v>
      </c>
      <c r="B12" s="1" t="s">
        <v>108</v>
      </c>
      <c r="C12" s="1" t="s">
        <v>44</v>
      </c>
      <c r="D12" s="1" t="s">
        <v>45</v>
      </c>
      <c r="E12" s="1" t="s">
        <v>124</v>
      </c>
      <c r="F12" s="6">
        <v>3500</v>
      </c>
      <c r="G12" s="6">
        <v>0</v>
      </c>
      <c r="H12" s="1" t="s">
        <v>110</v>
      </c>
    </row>
    <row r="13" spans="1:8" x14ac:dyDescent="0.25">
      <c r="A13" s="1" t="s">
        <v>123</v>
      </c>
      <c r="B13" s="1" t="s">
        <v>108</v>
      </c>
      <c r="C13" s="1" t="s">
        <v>111</v>
      </c>
      <c r="D13" s="1" t="s">
        <v>112</v>
      </c>
      <c r="E13" s="1" t="s">
        <v>124</v>
      </c>
      <c r="F13" s="6">
        <v>0</v>
      </c>
      <c r="G13" s="6">
        <v>3500</v>
      </c>
      <c r="H13" s="1" t="s">
        <v>110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4" customWidth="1"/>
    <col min="2" max="2" width="27" customWidth="1"/>
    <col min="3" max="3" width="18" customWidth="1"/>
    <col min="4" max="6" width="16" customWidth="1"/>
  </cols>
  <sheetData>
    <row r="1" spans="1:6" x14ac:dyDescent="0.25">
      <c r="A1" s="12" t="s">
        <v>125</v>
      </c>
      <c r="B1" s="11"/>
      <c r="C1" s="11"/>
      <c r="D1" s="11"/>
      <c r="E1" s="11"/>
      <c r="F1" s="11"/>
    </row>
    <row r="2" spans="1:6" x14ac:dyDescent="0.25">
      <c r="A2" s="10" t="s">
        <v>126</v>
      </c>
      <c r="B2" s="11"/>
      <c r="C2" s="11"/>
      <c r="D2" s="11"/>
      <c r="E2" s="11"/>
      <c r="F2" s="11"/>
    </row>
    <row r="3" spans="1:6" x14ac:dyDescent="0.25">
      <c r="A3" s="5" t="s">
        <v>26</v>
      </c>
      <c r="B3" s="5" t="s">
        <v>27</v>
      </c>
      <c r="C3" s="5" t="s">
        <v>127</v>
      </c>
      <c r="D3" s="5" t="s">
        <v>30</v>
      </c>
      <c r="E3" s="5" t="s">
        <v>31</v>
      </c>
      <c r="F3" s="5" t="s">
        <v>128</v>
      </c>
    </row>
    <row r="4" spans="1:6" x14ac:dyDescent="0.25">
      <c r="A4" s="1" t="s">
        <v>34</v>
      </c>
      <c r="B4" s="1" t="s">
        <v>35</v>
      </c>
      <c r="C4" s="1" t="s">
        <v>129</v>
      </c>
      <c r="D4" s="6">
        <f>SUMIF(GL_Data!$C:$C,A4,GL_Data!$G:$G)+SUMIF(Adjusting_Journals!$C:$C,A4,Adjusting_Journals!$F:$F)</f>
        <v>271200</v>
      </c>
      <c r="E4" s="6">
        <f>SUMIF(GL_Data!$C:$C,A4,GL_Data!$H:$H)+SUMIF(Adjusting_Journals!$C:$C,A4,Adjusting_Journals!$G:$G)</f>
        <v>47450</v>
      </c>
      <c r="F4" s="6">
        <f t="shared" ref="F4:F21" si="0">D4-E4</f>
        <v>223750</v>
      </c>
    </row>
    <row r="5" spans="1:6" x14ac:dyDescent="0.25">
      <c r="A5" s="1" t="s">
        <v>68</v>
      </c>
      <c r="B5" s="1" t="s">
        <v>69</v>
      </c>
      <c r="C5" s="1" t="s">
        <v>129</v>
      </c>
      <c r="D5" s="6">
        <f>SUMIF(GL_Data!$C:$C,A5,GL_Data!$G:$G)+SUMIF(Adjusting_Journals!$C:$C,A5,Adjusting_Journals!$F:$F)</f>
        <v>95000</v>
      </c>
      <c r="E5" s="6">
        <f>SUMIF(GL_Data!$C:$C,A5,GL_Data!$H:$H)+SUMIF(Adjusting_Journals!$C:$C,A5,Adjusting_Journals!$G:$G)</f>
        <v>70000</v>
      </c>
      <c r="F5" s="6">
        <f t="shared" si="0"/>
        <v>25000</v>
      </c>
    </row>
    <row r="6" spans="1:6" x14ac:dyDescent="0.25">
      <c r="A6" s="1" t="s">
        <v>84</v>
      </c>
      <c r="B6" s="1" t="s">
        <v>85</v>
      </c>
      <c r="C6" s="1" t="s">
        <v>129</v>
      </c>
      <c r="D6" s="6">
        <f>SUMIF(GL_Data!$C:$C,A6,GL_Data!$G:$G)+SUMIF(Adjusting_Journals!$C:$C,A6,Adjusting_Journals!$F:$F)</f>
        <v>12000</v>
      </c>
      <c r="E6" s="6">
        <f>SUMIF(GL_Data!$C:$C,A6,GL_Data!$H:$H)+SUMIF(Adjusting_Journals!$C:$C,A6,Adjusting_Journals!$G:$G)</f>
        <v>1000</v>
      </c>
      <c r="F6" s="6">
        <f t="shared" si="0"/>
        <v>11000</v>
      </c>
    </row>
    <row r="7" spans="1:6" x14ac:dyDescent="0.25">
      <c r="A7" s="1" t="s">
        <v>88</v>
      </c>
      <c r="B7" s="1" t="s">
        <v>89</v>
      </c>
      <c r="C7" s="1" t="s">
        <v>129</v>
      </c>
      <c r="D7" s="6">
        <f>SUMIF(GL_Data!$C:$C,A7,GL_Data!$G:$G)+SUMIF(Adjusting_Journals!$C:$C,A7,Adjusting_Journals!$F:$F)</f>
        <v>10000</v>
      </c>
      <c r="E7" s="6">
        <f>SUMIF(GL_Data!$C:$C,A7,GL_Data!$H:$H)+SUMIF(Adjusting_Journals!$C:$C,A7,Adjusting_Journals!$G:$G)</f>
        <v>0</v>
      </c>
      <c r="F7" s="6">
        <f t="shared" si="0"/>
        <v>10000</v>
      </c>
    </row>
    <row r="8" spans="1:6" x14ac:dyDescent="0.25">
      <c r="A8" s="1" t="s">
        <v>118</v>
      </c>
      <c r="B8" s="1" t="s">
        <v>119</v>
      </c>
      <c r="C8" s="1" t="s">
        <v>129</v>
      </c>
      <c r="D8" s="6">
        <f>SUMIF(GL_Data!$C:$C,A8,GL_Data!$G:$G)+SUMIF(Adjusting_Journals!$C:$C,A8,Adjusting_Journals!$F:$F)</f>
        <v>0</v>
      </c>
      <c r="E8" s="6">
        <f>SUMIF(GL_Data!$C:$C,A8,GL_Data!$H:$H)+SUMIF(Adjusting_Journals!$C:$C,A8,Adjusting_Journals!$G:$G)</f>
        <v>200</v>
      </c>
      <c r="F8" s="6">
        <f t="shared" si="0"/>
        <v>-200</v>
      </c>
    </row>
    <row r="9" spans="1:6" x14ac:dyDescent="0.25">
      <c r="A9" s="1" t="s">
        <v>74</v>
      </c>
      <c r="B9" s="1" t="s">
        <v>75</v>
      </c>
      <c r="C9" s="1" t="s">
        <v>129</v>
      </c>
      <c r="D9" s="6">
        <f>SUMIF(GL_Data!$C:$C,A9,GL_Data!$G:$G)+SUMIF(Adjusting_Journals!$C:$C,A9,Adjusting_Journals!$F:$F)</f>
        <v>25000</v>
      </c>
      <c r="E9" s="6">
        <f>SUMIF(GL_Data!$C:$C,A9,GL_Data!$H:$H)+SUMIF(Adjusting_Journals!$C:$C,A9,Adjusting_Journals!$G:$G)</f>
        <v>42000</v>
      </c>
      <c r="F9" s="6">
        <f t="shared" si="0"/>
        <v>-17000</v>
      </c>
    </row>
    <row r="10" spans="1:6" x14ac:dyDescent="0.25">
      <c r="A10" s="1" t="s">
        <v>111</v>
      </c>
      <c r="B10" s="1" t="s">
        <v>112</v>
      </c>
      <c r="C10" s="1" t="s">
        <v>129</v>
      </c>
      <c r="D10" s="6">
        <f>SUMIF(GL_Data!$C:$C,A10,GL_Data!$G:$G)+SUMIF(Adjusting_Journals!$C:$C,A10,Adjusting_Journals!$F:$F)</f>
        <v>0</v>
      </c>
      <c r="E10" s="6">
        <f>SUMIF(GL_Data!$C:$C,A10,GL_Data!$H:$H)+SUMIF(Adjusting_Journals!$C:$C,A10,Adjusting_Journals!$G:$G)</f>
        <v>5500</v>
      </c>
      <c r="F10" s="6">
        <f t="shared" si="0"/>
        <v>-5500</v>
      </c>
    </row>
    <row r="11" spans="1:6" x14ac:dyDescent="0.25">
      <c r="A11" s="1" t="s">
        <v>93</v>
      </c>
      <c r="B11" s="1" t="s">
        <v>94</v>
      </c>
      <c r="C11" s="1" t="s">
        <v>129</v>
      </c>
      <c r="D11" s="6">
        <f>SUMIF(GL_Data!$C:$C,A11,GL_Data!$G:$G)+SUMIF(Adjusting_Journals!$C:$C,A11,Adjusting_Journals!$F:$F)</f>
        <v>0</v>
      </c>
      <c r="E11" s="6">
        <f>SUMIF(GL_Data!$C:$C,A11,GL_Data!$H:$H)+SUMIF(Adjusting_Journals!$C:$C,A11,Adjusting_Journals!$G:$G)</f>
        <v>50000</v>
      </c>
      <c r="F11" s="6">
        <f t="shared" si="0"/>
        <v>-50000</v>
      </c>
    </row>
    <row r="12" spans="1:6" x14ac:dyDescent="0.25">
      <c r="A12" s="1" t="s">
        <v>39</v>
      </c>
      <c r="B12" s="1" t="s">
        <v>40</v>
      </c>
      <c r="C12" s="1" t="s">
        <v>130</v>
      </c>
      <c r="D12" s="6">
        <f>SUMIF(GL_Data!$C:$C,A12,GL_Data!$G:$G)+SUMIF(Adjusting_Journals!$C:$C,A12,Adjusting_Journals!$F:$F)</f>
        <v>0</v>
      </c>
      <c r="E12" s="6">
        <f>SUMIF(GL_Data!$C:$C,A12,GL_Data!$H:$H)+SUMIF(Adjusting_Journals!$C:$C,A12,Adjusting_Journals!$G:$G)</f>
        <v>95000</v>
      </c>
      <c r="F12" s="6">
        <f t="shared" si="0"/>
        <v>-95000</v>
      </c>
    </row>
    <row r="13" spans="1:6" x14ac:dyDescent="0.25">
      <c r="A13" s="1" t="s">
        <v>44</v>
      </c>
      <c r="B13" s="1" t="s">
        <v>45</v>
      </c>
      <c r="C13" s="1" t="s">
        <v>130</v>
      </c>
      <c r="D13" s="6">
        <f>SUMIF(GL_Data!$C:$C,A13,GL_Data!$G:$G)+SUMIF(Adjusting_Journals!$C:$C,A13,Adjusting_Journals!$F:$F)</f>
        <v>45500</v>
      </c>
      <c r="E13" s="6">
        <f>SUMIF(GL_Data!$C:$C,A13,GL_Data!$H:$H)+SUMIF(Adjusting_Journals!$C:$C,A13,Adjusting_Journals!$G:$G)</f>
        <v>0</v>
      </c>
      <c r="F13" s="6">
        <f t="shared" si="0"/>
        <v>45500</v>
      </c>
    </row>
    <row r="14" spans="1:6" x14ac:dyDescent="0.25">
      <c r="A14" s="1" t="s">
        <v>48</v>
      </c>
      <c r="B14" s="1" t="s">
        <v>49</v>
      </c>
      <c r="C14" s="1" t="s">
        <v>130</v>
      </c>
      <c r="D14" s="6">
        <f>SUMIF(GL_Data!$C:$C,A14,GL_Data!$G:$G)+SUMIF(Adjusting_Journals!$C:$C,A14,Adjusting_Journals!$F:$F)</f>
        <v>18000</v>
      </c>
      <c r="E14" s="6">
        <f>SUMIF(GL_Data!$C:$C,A14,GL_Data!$H:$H)+SUMIF(Adjusting_Journals!$C:$C,A14,Adjusting_Journals!$G:$G)</f>
        <v>0</v>
      </c>
      <c r="F14" s="6">
        <f t="shared" si="0"/>
        <v>18000</v>
      </c>
    </row>
    <row r="15" spans="1:6" x14ac:dyDescent="0.25">
      <c r="A15" s="1" t="s">
        <v>52</v>
      </c>
      <c r="B15" s="1" t="s">
        <v>53</v>
      </c>
      <c r="C15" s="1" t="s">
        <v>130</v>
      </c>
      <c r="D15" s="6">
        <f>SUMIF(GL_Data!$C:$C,A15,GL_Data!$G:$G)+SUMIF(Adjusting_Journals!$C:$C,A15,Adjusting_Journals!$F:$F)</f>
        <v>2500</v>
      </c>
      <c r="E15" s="6">
        <f>SUMIF(GL_Data!$C:$C,A15,GL_Data!$H:$H)+SUMIF(Adjusting_Journals!$C:$C,A15,Adjusting_Journals!$G:$G)</f>
        <v>0</v>
      </c>
      <c r="F15" s="6">
        <f t="shared" si="0"/>
        <v>2500</v>
      </c>
    </row>
    <row r="16" spans="1:6" x14ac:dyDescent="0.25">
      <c r="A16" s="1" t="s">
        <v>56</v>
      </c>
      <c r="B16" s="1" t="s">
        <v>57</v>
      </c>
      <c r="C16" s="1" t="s">
        <v>130</v>
      </c>
      <c r="D16" s="6">
        <f>SUMIF(GL_Data!$C:$C,A16,GL_Data!$G:$G)+SUMIF(Adjusting_Journals!$C:$C,A16,Adjusting_Journals!$F:$F)</f>
        <v>5700</v>
      </c>
      <c r="E16" s="6">
        <f>SUMIF(GL_Data!$C:$C,A16,GL_Data!$H:$H)+SUMIF(Adjusting_Journals!$C:$C,A16,Adjusting_Journals!$G:$G)</f>
        <v>0</v>
      </c>
      <c r="F16" s="6">
        <f t="shared" si="0"/>
        <v>5700</v>
      </c>
    </row>
    <row r="17" spans="1:6" x14ac:dyDescent="0.25">
      <c r="A17" s="1" t="s">
        <v>60</v>
      </c>
      <c r="B17" s="1" t="s">
        <v>61</v>
      </c>
      <c r="C17" s="1" t="s">
        <v>130</v>
      </c>
      <c r="D17" s="6">
        <f>SUMIF(GL_Data!$C:$C,A17,GL_Data!$G:$G)+SUMIF(Adjusting_Journals!$C:$C,A17,Adjusting_Journals!$F:$F)</f>
        <v>3000</v>
      </c>
      <c r="E17" s="6">
        <f>SUMIF(GL_Data!$C:$C,A17,GL_Data!$H:$H)+SUMIF(Adjusting_Journals!$C:$C,A17,Adjusting_Journals!$G:$G)</f>
        <v>0</v>
      </c>
      <c r="F17" s="6">
        <f t="shared" si="0"/>
        <v>3000</v>
      </c>
    </row>
    <row r="18" spans="1:6" x14ac:dyDescent="0.25">
      <c r="A18" s="1" t="s">
        <v>64</v>
      </c>
      <c r="B18" s="1" t="s">
        <v>65</v>
      </c>
      <c r="C18" s="1" t="s">
        <v>130</v>
      </c>
      <c r="D18" s="6">
        <f>SUMIF(GL_Data!$C:$C,A18,GL_Data!$G:$G)+SUMIF(Adjusting_Journals!$C:$C,A18,Adjusting_Journals!$F:$F)</f>
        <v>3000</v>
      </c>
      <c r="E18" s="6">
        <f>SUMIF(GL_Data!$C:$C,A18,GL_Data!$H:$H)+SUMIF(Adjusting_Journals!$C:$C,A18,Adjusting_Journals!$G:$G)</f>
        <v>0</v>
      </c>
      <c r="F18" s="6">
        <f t="shared" si="0"/>
        <v>3000</v>
      </c>
    </row>
    <row r="19" spans="1:6" x14ac:dyDescent="0.25">
      <c r="A19" s="1" t="s">
        <v>80</v>
      </c>
      <c r="B19" s="1" t="s">
        <v>81</v>
      </c>
      <c r="C19" s="1" t="s">
        <v>130</v>
      </c>
      <c r="D19" s="6">
        <f>SUMIF(GL_Data!$C:$C,A19,GL_Data!$G:$G)+SUMIF(Adjusting_Journals!$C:$C,A19,Adjusting_Journals!$F:$F)</f>
        <v>1800</v>
      </c>
      <c r="E19" s="6">
        <f>SUMIF(GL_Data!$C:$C,A19,GL_Data!$H:$H)+SUMIF(Adjusting_Journals!$C:$C,A19,Adjusting_Journals!$G:$G)</f>
        <v>0</v>
      </c>
      <c r="F19" s="6">
        <f t="shared" si="0"/>
        <v>1800</v>
      </c>
    </row>
    <row r="20" spans="1:6" x14ac:dyDescent="0.25">
      <c r="A20" s="1" t="s">
        <v>96</v>
      </c>
      <c r="B20" s="1" t="s">
        <v>97</v>
      </c>
      <c r="C20" s="1" t="s">
        <v>130</v>
      </c>
      <c r="D20" s="6">
        <f>SUMIF(GL_Data!$C:$C,A20,GL_Data!$G:$G)+SUMIF(Adjusting_Journals!$C:$C,A20,Adjusting_Journals!$F:$F)</f>
        <v>650</v>
      </c>
      <c r="E20" s="6">
        <f>SUMIF(GL_Data!$C:$C,A20,GL_Data!$H:$H)+SUMIF(Adjusting_Journals!$C:$C,A20,Adjusting_Journals!$G:$G)</f>
        <v>0</v>
      </c>
      <c r="F20" s="6">
        <f t="shared" si="0"/>
        <v>650</v>
      </c>
    </row>
    <row r="21" spans="1:6" x14ac:dyDescent="0.25">
      <c r="A21" s="1" t="s">
        <v>100</v>
      </c>
      <c r="B21" s="1" t="s">
        <v>101</v>
      </c>
      <c r="C21" s="1" t="s">
        <v>130</v>
      </c>
      <c r="D21" s="6">
        <f>SUMIF(GL_Data!$C:$C,A21,GL_Data!$G:$G)+SUMIF(Adjusting_Journals!$C:$C,A21,Adjusting_Journals!$F:$F)</f>
        <v>0</v>
      </c>
      <c r="E21" s="6">
        <f>SUMIF(GL_Data!$C:$C,A21,GL_Data!$H:$H)+SUMIF(Adjusting_Journals!$C:$C,A21,Adjusting_Journals!$G:$G)</f>
        <v>1200</v>
      </c>
      <c r="F21" s="6">
        <f t="shared" si="0"/>
        <v>-1200</v>
      </c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7" t="s">
        <v>131</v>
      </c>
      <c r="B23" s="1"/>
      <c r="C23" s="1"/>
      <c r="D23" s="8">
        <f>SUM(D4:D21)</f>
        <v>493350</v>
      </c>
      <c r="E23" s="8">
        <f>SUM(E4:E21)</f>
        <v>312350</v>
      </c>
      <c r="F23" s="8">
        <f>SUM(F4:F21)</f>
        <v>181000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5" customWidth="1"/>
    <col min="2" max="2" width="16" customWidth="1"/>
    <col min="3" max="3" width="20" customWidth="1"/>
    <col min="4" max="4" width="16" customWidth="1"/>
    <col min="5" max="5" width="18" customWidth="1"/>
    <col min="6" max="6" width="55" customWidth="1"/>
  </cols>
  <sheetData>
    <row r="1" spans="1:6" x14ac:dyDescent="0.25">
      <c r="A1" s="12" t="s">
        <v>132</v>
      </c>
      <c r="B1" s="11"/>
      <c r="C1" s="11"/>
      <c r="D1" s="11"/>
      <c r="E1" s="11"/>
      <c r="F1" s="11"/>
    </row>
    <row r="2" spans="1:6" x14ac:dyDescent="0.25">
      <c r="A2" s="10" t="s">
        <v>133</v>
      </c>
      <c r="B2" s="11"/>
      <c r="C2" s="11"/>
      <c r="D2" s="11"/>
      <c r="E2" s="11"/>
      <c r="F2" s="11"/>
    </row>
    <row r="3" spans="1:6" x14ac:dyDescent="0.25">
      <c r="A3" s="5" t="s">
        <v>134</v>
      </c>
      <c r="B3" s="5" t="s">
        <v>135</v>
      </c>
      <c r="C3" s="5" t="s">
        <v>136</v>
      </c>
      <c r="D3" s="5" t="s">
        <v>137</v>
      </c>
      <c r="E3" s="5" t="s">
        <v>138</v>
      </c>
      <c r="F3" s="5" t="s">
        <v>139</v>
      </c>
    </row>
    <row r="4" spans="1:6" x14ac:dyDescent="0.25">
      <c r="A4" s="1" t="s">
        <v>35</v>
      </c>
      <c r="B4" s="6">
        <f>SUMIF(Trial_Balance!$B:$B,A4,Trial_Balance!$F:$F)</f>
        <v>223750</v>
      </c>
      <c r="C4" s="6">
        <v>183950</v>
      </c>
      <c r="D4" s="6">
        <f t="shared" ref="D4:D10" si="0">B4-C4</f>
        <v>39800</v>
      </c>
      <c r="E4" s="1" t="str">
        <f t="shared" ref="E4:E10" si="1">IF(ABS(D4)&lt;0.01,"RECONCILED","INVESTIGATE")</f>
        <v>INVESTIGATE</v>
      </c>
      <c r="F4" s="1" t="s">
        <v>140</v>
      </c>
    </row>
    <row r="5" spans="1:6" x14ac:dyDescent="0.25">
      <c r="A5" s="1" t="s">
        <v>69</v>
      </c>
      <c r="B5" s="6">
        <f>SUMIF(Trial_Balance!$B:$B,A5,Trial_Balance!$F:$F)</f>
        <v>25000</v>
      </c>
      <c r="C5" s="6">
        <v>25000</v>
      </c>
      <c r="D5" s="6">
        <f t="shared" si="0"/>
        <v>0</v>
      </c>
      <c r="E5" s="1" t="str">
        <f t="shared" si="1"/>
        <v>RECONCILED</v>
      </c>
      <c r="F5" s="1" t="s">
        <v>141</v>
      </c>
    </row>
    <row r="6" spans="1:6" x14ac:dyDescent="0.25">
      <c r="A6" s="1" t="s">
        <v>85</v>
      </c>
      <c r="B6" s="6">
        <f>SUMIF(Trial_Balance!$B:$B,A6,Trial_Balance!$F:$F)</f>
        <v>11000</v>
      </c>
      <c r="C6" s="6">
        <v>11000</v>
      </c>
      <c r="D6" s="6">
        <f t="shared" si="0"/>
        <v>0</v>
      </c>
      <c r="E6" s="1" t="str">
        <f t="shared" si="1"/>
        <v>RECONCILED</v>
      </c>
      <c r="F6" s="1" t="s">
        <v>142</v>
      </c>
    </row>
    <row r="7" spans="1:6" x14ac:dyDescent="0.25">
      <c r="A7" s="1" t="s">
        <v>89</v>
      </c>
      <c r="B7" s="6">
        <f>SUMIF(Trial_Balance!$B:$B,A7,Trial_Balance!$F:$F)</f>
        <v>10000</v>
      </c>
      <c r="C7" s="6">
        <v>10000</v>
      </c>
      <c r="D7" s="6">
        <f t="shared" si="0"/>
        <v>0</v>
      </c>
      <c r="E7" s="1" t="str">
        <f t="shared" si="1"/>
        <v>RECONCILED</v>
      </c>
      <c r="F7" s="1" t="s">
        <v>143</v>
      </c>
    </row>
    <row r="8" spans="1:6" x14ac:dyDescent="0.25">
      <c r="A8" s="1" t="s">
        <v>119</v>
      </c>
      <c r="B8" s="6">
        <f>SUMIF(Trial_Balance!$B:$B,A8,Trial_Balance!$F:$F)</f>
        <v>-200</v>
      </c>
      <c r="C8" s="6">
        <v>-200</v>
      </c>
      <c r="D8" s="6">
        <f t="shared" si="0"/>
        <v>0</v>
      </c>
      <c r="E8" s="1" t="str">
        <f t="shared" si="1"/>
        <v>RECONCILED</v>
      </c>
      <c r="F8" s="1" t="s">
        <v>144</v>
      </c>
    </row>
    <row r="9" spans="1:6" x14ac:dyDescent="0.25">
      <c r="A9" s="1" t="s">
        <v>75</v>
      </c>
      <c r="B9" s="6">
        <f>SUMIF(Trial_Balance!$B:$B,A9,Trial_Balance!$F:$F)</f>
        <v>-17000</v>
      </c>
      <c r="C9" s="6">
        <v>17000</v>
      </c>
      <c r="D9" s="6">
        <f t="shared" si="0"/>
        <v>-34000</v>
      </c>
      <c r="E9" s="1" t="str">
        <f t="shared" si="1"/>
        <v>INVESTIGATE</v>
      </c>
      <c r="F9" s="1" t="s">
        <v>145</v>
      </c>
    </row>
    <row r="10" spans="1:6" x14ac:dyDescent="0.25">
      <c r="A10" s="1" t="s">
        <v>112</v>
      </c>
      <c r="B10" s="6">
        <f>SUMIF(Trial_Balance!$B:$B,A10,Trial_Balance!$F:$F)</f>
        <v>-5500</v>
      </c>
      <c r="C10" s="6">
        <v>6700</v>
      </c>
      <c r="D10" s="6">
        <f t="shared" si="0"/>
        <v>-12200</v>
      </c>
      <c r="E10" s="1" t="str">
        <f t="shared" si="1"/>
        <v>INVESTIGATE</v>
      </c>
      <c r="F10" s="1" t="s">
        <v>146</v>
      </c>
    </row>
  </sheetData>
  <mergeCells count="2">
    <mergeCell ref="A2:F2"/>
    <mergeCell ref="A1:F1"/>
  </mergeCells>
  <conditionalFormatting sqref="D4:D10">
    <cfRule type="cellIs" dxfId="0" priority="1" operator="notEqual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showGridLines="0" workbookViewId="0">
      <pane ySplit="2" topLeftCell="A3" activePane="bottomLeft" state="frozen"/>
      <selection pane="bottomLeft" sqref="A1:F1"/>
    </sheetView>
  </sheetViews>
  <sheetFormatPr defaultRowHeight="15" x14ac:dyDescent="0.25"/>
  <cols>
    <col min="1" max="1" width="30" customWidth="1"/>
    <col min="2" max="2" width="18" customWidth="1"/>
  </cols>
  <sheetData>
    <row r="1" spans="1:6" x14ac:dyDescent="0.25">
      <c r="A1" s="12" t="s">
        <v>147</v>
      </c>
      <c r="B1" s="11"/>
      <c r="C1" s="11"/>
      <c r="D1" s="11"/>
      <c r="E1" s="11"/>
      <c r="F1" s="11"/>
    </row>
    <row r="2" spans="1:6" x14ac:dyDescent="0.25">
      <c r="A2" s="10" t="s">
        <v>148</v>
      </c>
      <c r="B2" s="11"/>
      <c r="C2" s="11"/>
      <c r="D2" s="11"/>
      <c r="E2" s="11"/>
      <c r="F2" s="11"/>
    </row>
    <row r="3" spans="1:6" x14ac:dyDescent="0.25">
      <c r="A3" s="5" t="s">
        <v>149</v>
      </c>
      <c r="B3" s="5" t="s">
        <v>150</v>
      </c>
      <c r="C3" s="1"/>
      <c r="D3" s="1"/>
      <c r="E3" s="1"/>
      <c r="F3" s="1"/>
    </row>
    <row r="4" spans="1:6" x14ac:dyDescent="0.25">
      <c r="A4" s="1" t="s">
        <v>40</v>
      </c>
      <c r="B4" s="6">
        <f>SUMIF(Trial_Balance!$A:$A,"4000",Trial_Balance!$F:$F)*1</f>
        <v>-95000</v>
      </c>
      <c r="C4" s="1"/>
      <c r="D4" s="1"/>
      <c r="E4" s="1"/>
      <c r="F4" s="1"/>
    </row>
    <row r="5" spans="1:6" x14ac:dyDescent="0.25">
      <c r="A5" s="1" t="s">
        <v>101</v>
      </c>
      <c r="B5" s="6">
        <f>SUMIF(Trial_Balance!$A:$A,"7000",Trial_Balance!$F:$F)*1</f>
        <v>-1200</v>
      </c>
      <c r="C5" s="1"/>
      <c r="D5" s="1"/>
      <c r="E5" s="1"/>
      <c r="F5" s="1"/>
    </row>
    <row r="6" spans="1:6" x14ac:dyDescent="0.25">
      <c r="A6" s="1" t="s">
        <v>45</v>
      </c>
      <c r="B6" s="6">
        <f>SUMIF(Trial_Balance!$A:$A,"5000",Trial_Balance!$F:$F)*-1</f>
        <v>-45500</v>
      </c>
      <c r="C6" s="1"/>
      <c r="D6" s="1"/>
      <c r="E6" s="1"/>
      <c r="F6" s="1"/>
    </row>
    <row r="7" spans="1:6" x14ac:dyDescent="0.25">
      <c r="A7" s="1" t="s">
        <v>49</v>
      </c>
      <c r="B7" s="6">
        <f>SUMIF(Trial_Balance!$A:$A,"6100",Trial_Balance!$F:$F)*-1</f>
        <v>-18000</v>
      </c>
      <c r="C7" s="1"/>
      <c r="D7" s="1"/>
      <c r="E7" s="1"/>
      <c r="F7" s="1"/>
    </row>
    <row r="8" spans="1:6" x14ac:dyDescent="0.25">
      <c r="A8" s="1" t="s">
        <v>53</v>
      </c>
      <c r="B8" s="6">
        <f>SUMIF(Trial_Balance!$A:$A,"6200",Trial_Balance!$F:$F)*-1</f>
        <v>-2500</v>
      </c>
      <c r="C8" s="1"/>
      <c r="D8" s="1"/>
      <c r="E8" s="1"/>
      <c r="F8" s="1"/>
    </row>
    <row r="9" spans="1:6" x14ac:dyDescent="0.25">
      <c r="A9" s="1" t="s">
        <v>57</v>
      </c>
      <c r="B9" s="6">
        <f>SUMIF(Trial_Balance!$A:$A,"6300",Trial_Balance!$F:$F)*-1</f>
        <v>-5700</v>
      </c>
      <c r="C9" s="1"/>
      <c r="D9" s="1"/>
      <c r="E9" s="1"/>
      <c r="F9" s="1"/>
    </row>
    <row r="10" spans="1:6" x14ac:dyDescent="0.25">
      <c r="A10" s="1" t="s">
        <v>61</v>
      </c>
      <c r="B10" s="6">
        <f>SUMIF(Trial_Balance!$A:$A,"6400",Trial_Balance!$F:$F)*-1</f>
        <v>-3000</v>
      </c>
      <c r="C10" s="1"/>
      <c r="D10" s="1"/>
      <c r="E10" s="1"/>
      <c r="F10" s="1"/>
    </row>
    <row r="11" spans="1:6" x14ac:dyDescent="0.25">
      <c r="A11" s="1" t="s">
        <v>65</v>
      </c>
      <c r="B11" s="6">
        <f>SUMIF(Trial_Balance!$A:$A,"6500",Trial_Balance!$F:$F)*-1</f>
        <v>-3000</v>
      </c>
      <c r="C11" s="1"/>
      <c r="D11" s="1"/>
      <c r="E11" s="1"/>
      <c r="F11" s="1"/>
    </row>
    <row r="12" spans="1:6" x14ac:dyDescent="0.25">
      <c r="A12" s="1" t="s">
        <v>81</v>
      </c>
      <c r="B12" s="6">
        <f>SUMIF(Trial_Balance!$A:$A,"6700",Trial_Balance!$F:$F)*-1</f>
        <v>-1800</v>
      </c>
      <c r="C12" s="1"/>
      <c r="D12" s="1"/>
      <c r="E12" s="1"/>
      <c r="F12" s="1"/>
    </row>
    <row r="13" spans="1:6" x14ac:dyDescent="0.25">
      <c r="A13" s="1" t="s">
        <v>97</v>
      </c>
      <c r="B13" s="6">
        <f>SUMIF(Trial_Balance!$A:$A,"6800",Trial_Balance!$F:$F)*-1</f>
        <v>-650</v>
      </c>
      <c r="C13" s="1"/>
      <c r="D13" s="1"/>
      <c r="E13" s="1"/>
      <c r="F13" s="1"/>
    </row>
    <row r="14" spans="1:6" x14ac:dyDescent="0.25">
      <c r="A14" s="7" t="s">
        <v>151</v>
      </c>
      <c r="B14" s="8">
        <f>SUM(B4:B13)</f>
        <v>-176350</v>
      </c>
      <c r="C14" s="1"/>
      <c r="D14" s="1"/>
      <c r="E14" s="1"/>
      <c r="F14" s="1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showGridLines="0" workbookViewId="0">
      <pane ySplit="2" topLeftCell="A3" activePane="bottomLeft" state="frozen"/>
      <selection pane="bottomLeft" sqref="A1:F1"/>
    </sheetView>
  </sheetViews>
  <sheetFormatPr defaultRowHeight="15" x14ac:dyDescent="0.25"/>
  <cols>
    <col min="1" max="1" width="35" customWidth="1"/>
    <col min="2" max="2" width="18" customWidth="1"/>
  </cols>
  <sheetData>
    <row r="1" spans="1:6" x14ac:dyDescent="0.25">
      <c r="A1" s="12" t="s">
        <v>152</v>
      </c>
      <c r="B1" s="11"/>
      <c r="C1" s="11"/>
      <c r="D1" s="11"/>
      <c r="E1" s="11"/>
      <c r="F1" s="11"/>
    </row>
    <row r="2" spans="1:6" x14ac:dyDescent="0.25">
      <c r="A2" s="10" t="s">
        <v>153</v>
      </c>
      <c r="B2" s="11"/>
      <c r="C2" s="11"/>
      <c r="D2" s="11"/>
      <c r="E2" s="11"/>
      <c r="F2" s="11"/>
    </row>
    <row r="3" spans="1:6" x14ac:dyDescent="0.25">
      <c r="A3" s="5" t="s">
        <v>154</v>
      </c>
      <c r="B3" s="5" t="s">
        <v>150</v>
      </c>
      <c r="C3" s="1"/>
      <c r="D3" s="1"/>
      <c r="E3" s="1"/>
      <c r="F3" s="1"/>
    </row>
    <row r="4" spans="1:6" x14ac:dyDescent="0.25">
      <c r="A4" s="1" t="s">
        <v>35</v>
      </c>
      <c r="B4" s="6">
        <f>SUMIF(Trial_Balance!$A:$A,"1000",Trial_Balance!$F:$F)</f>
        <v>223750</v>
      </c>
      <c r="C4" s="1"/>
      <c r="D4" s="1"/>
      <c r="E4" s="1"/>
      <c r="F4" s="1"/>
    </row>
    <row r="5" spans="1:6" x14ac:dyDescent="0.25">
      <c r="A5" s="1" t="s">
        <v>69</v>
      </c>
      <c r="B5" s="6">
        <f>SUMIF(Trial_Balance!$A:$A,"1100",Trial_Balance!$F:$F)</f>
        <v>25000</v>
      </c>
      <c r="C5" s="1"/>
      <c r="D5" s="1"/>
      <c r="E5" s="1"/>
      <c r="F5" s="1"/>
    </row>
    <row r="6" spans="1:6" x14ac:dyDescent="0.25">
      <c r="A6" s="1" t="s">
        <v>85</v>
      </c>
      <c r="B6" s="6">
        <f>SUMIF(Trial_Balance!$A:$A,"1200",Trial_Balance!$F:$F)</f>
        <v>11000</v>
      </c>
      <c r="C6" s="1"/>
      <c r="D6" s="1"/>
      <c r="E6" s="1"/>
      <c r="F6" s="1"/>
    </row>
    <row r="7" spans="1:6" x14ac:dyDescent="0.25">
      <c r="A7" s="1" t="s">
        <v>89</v>
      </c>
      <c r="B7" s="6">
        <f>SUMIF(Trial_Balance!$A:$A,"1500",Trial_Balance!$F:$F)</f>
        <v>10000</v>
      </c>
      <c r="C7" s="1"/>
      <c r="D7" s="1"/>
      <c r="E7" s="1"/>
      <c r="F7" s="1"/>
    </row>
    <row r="8" spans="1:6" x14ac:dyDescent="0.25">
      <c r="A8" s="1" t="s">
        <v>155</v>
      </c>
      <c r="B8" s="6">
        <f>SUMIF(Trial_Balance!$A:$A,"1550",Trial_Balance!$F:$F)</f>
        <v>-200</v>
      </c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7" t="s">
        <v>156</v>
      </c>
      <c r="B10" s="7">
        <f>SUM(B4:B8)</f>
        <v>269550</v>
      </c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5" t="s">
        <v>157</v>
      </c>
      <c r="B12" s="5" t="s">
        <v>150</v>
      </c>
      <c r="C12" s="1"/>
      <c r="D12" s="1"/>
      <c r="E12" s="1"/>
      <c r="F12" s="1"/>
    </row>
    <row r="13" spans="1:6" x14ac:dyDescent="0.25">
      <c r="A13" s="1" t="s">
        <v>75</v>
      </c>
      <c r="B13" s="6">
        <f>SUMIF(Trial_Balance!$A:$A,"2000",Trial_Balance!$F:$F)*-1</f>
        <v>17000</v>
      </c>
      <c r="C13" s="1"/>
      <c r="D13" s="1"/>
      <c r="E13" s="1"/>
      <c r="F13" s="1"/>
    </row>
    <row r="14" spans="1:6" x14ac:dyDescent="0.25">
      <c r="A14" s="1" t="s">
        <v>112</v>
      </c>
      <c r="B14" s="6">
        <f>SUMIF(Trial_Balance!$A:$A,"2100",Trial_Balance!$F:$F)*-1</f>
        <v>5500</v>
      </c>
      <c r="C14" s="1"/>
      <c r="D14" s="1"/>
      <c r="E14" s="1"/>
      <c r="F14" s="1"/>
    </row>
    <row r="15" spans="1:6" x14ac:dyDescent="0.25">
      <c r="A15" s="1" t="s">
        <v>94</v>
      </c>
      <c r="B15" s="6">
        <f>SUMIF(Trial_Balance!$A:$A,"3000",Trial_Balance!$F:$F)*-1</f>
        <v>50000</v>
      </c>
      <c r="C15" s="1"/>
      <c r="D15" s="1"/>
      <c r="E15" s="1"/>
      <c r="F15" s="1"/>
    </row>
    <row r="16" spans="1:6" x14ac:dyDescent="0.25">
      <c r="A16" s="1" t="s">
        <v>158</v>
      </c>
      <c r="B16" s="6">
        <f>'P&amp;L'!B14</f>
        <v>-176350</v>
      </c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7" t="s">
        <v>159</v>
      </c>
      <c r="B18" s="7">
        <f>SUM(B13:B16)</f>
        <v>-103850</v>
      </c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7" t="s">
        <v>160</v>
      </c>
      <c r="B20" s="8">
        <f>B10-B18</f>
        <v>373400</v>
      </c>
      <c r="C20" s="1"/>
      <c r="D20" s="1"/>
      <c r="E20" s="1"/>
      <c r="F20" s="1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showGridLines="0" workbookViewId="0">
      <pane ySplit="2" topLeftCell="A3" activePane="bottomLeft" state="frozen"/>
      <selection pane="bottomLeft" sqref="A1:F1"/>
    </sheetView>
  </sheetViews>
  <sheetFormatPr defaultRowHeight="15" x14ac:dyDescent="0.25"/>
  <cols>
    <col min="1" max="1" width="38" customWidth="1"/>
    <col min="2" max="2" width="18" customWidth="1"/>
  </cols>
  <sheetData>
    <row r="1" spans="1:6" x14ac:dyDescent="0.25">
      <c r="A1" s="12" t="s">
        <v>161</v>
      </c>
      <c r="B1" s="11"/>
      <c r="C1" s="11"/>
      <c r="D1" s="11"/>
      <c r="E1" s="11"/>
      <c r="F1" s="11"/>
    </row>
    <row r="2" spans="1:6" x14ac:dyDescent="0.25">
      <c r="A2" s="10" t="s">
        <v>162</v>
      </c>
      <c r="B2" s="11"/>
      <c r="C2" s="11"/>
      <c r="D2" s="11"/>
      <c r="E2" s="11"/>
      <c r="F2" s="11"/>
    </row>
    <row r="3" spans="1:6" x14ac:dyDescent="0.25">
      <c r="A3" s="5" t="s">
        <v>163</v>
      </c>
      <c r="B3" s="5" t="s">
        <v>150</v>
      </c>
      <c r="C3" s="1"/>
      <c r="D3" s="1"/>
      <c r="E3" s="1"/>
      <c r="F3" s="1"/>
    </row>
    <row r="4" spans="1:6" x14ac:dyDescent="0.25">
      <c r="A4" s="1" t="s">
        <v>164</v>
      </c>
      <c r="B4" s="6">
        <v>150000</v>
      </c>
      <c r="C4" s="1"/>
      <c r="D4" s="1"/>
      <c r="E4" s="1"/>
      <c r="F4" s="1"/>
    </row>
    <row r="5" spans="1:6" x14ac:dyDescent="0.25">
      <c r="A5" s="1" t="s">
        <v>165</v>
      </c>
      <c r="B5" s="6">
        <f>'P&amp;L'!B14</f>
        <v>-176350</v>
      </c>
      <c r="C5" s="1"/>
      <c r="D5" s="1"/>
      <c r="E5" s="1"/>
      <c r="F5" s="1"/>
    </row>
    <row r="6" spans="1:6" x14ac:dyDescent="0.25">
      <c r="A6" s="1" t="s">
        <v>166</v>
      </c>
      <c r="B6" s="6">
        <f>-(25000-0)</f>
        <v>-25000</v>
      </c>
      <c r="C6" s="1"/>
      <c r="D6" s="1"/>
      <c r="E6" s="1"/>
      <c r="F6" s="1"/>
    </row>
    <row r="7" spans="1:6" x14ac:dyDescent="0.25">
      <c r="A7" s="1" t="s">
        <v>167</v>
      </c>
      <c r="B7" s="6">
        <f>-(11000-0)</f>
        <v>-11000</v>
      </c>
      <c r="C7" s="1"/>
      <c r="D7" s="1"/>
      <c r="E7" s="1"/>
      <c r="F7" s="1"/>
    </row>
    <row r="8" spans="1:6" x14ac:dyDescent="0.25">
      <c r="A8" s="1" t="s">
        <v>168</v>
      </c>
      <c r="B8" s="6">
        <f>17000</f>
        <v>17000</v>
      </c>
      <c r="C8" s="1"/>
      <c r="D8" s="1"/>
      <c r="E8" s="1"/>
      <c r="F8" s="1"/>
    </row>
    <row r="9" spans="1:6" x14ac:dyDescent="0.25">
      <c r="A9" s="1" t="s">
        <v>169</v>
      </c>
      <c r="B9" s="6">
        <f>6700</f>
        <v>6700</v>
      </c>
      <c r="C9" s="1"/>
      <c r="D9" s="1"/>
      <c r="E9" s="1"/>
      <c r="F9" s="1"/>
    </row>
    <row r="10" spans="1:6" x14ac:dyDescent="0.25">
      <c r="A10" s="1" t="s">
        <v>170</v>
      </c>
      <c r="B10" s="6">
        <f>-10000</f>
        <v>-10000</v>
      </c>
      <c r="C10" s="1"/>
      <c r="D10" s="1"/>
      <c r="E10" s="1"/>
      <c r="F10" s="1"/>
    </row>
    <row r="11" spans="1:6" x14ac:dyDescent="0.25">
      <c r="A11" s="1" t="s">
        <v>171</v>
      </c>
      <c r="B11" s="6">
        <f>50000</f>
        <v>50000</v>
      </c>
      <c r="C11" s="1"/>
      <c r="D11" s="1"/>
      <c r="E11" s="1"/>
      <c r="F11" s="1"/>
    </row>
    <row r="12" spans="1:6" x14ac:dyDescent="0.25">
      <c r="A12" s="1" t="s">
        <v>172</v>
      </c>
      <c r="B12" s="6">
        <f>SUM(B4:B11)</f>
        <v>1350</v>
      </c>
      <c r="C12" s="1"/>
      <c r="D12" s="1"/>
      <c r="E12" s="1"/>
      <c r="F12" s="1"/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8" customWidth="1"/>
    <col min="2" max="4" width="16" customWidth="1"/>
    <col min="5" max="5" width="14" customWidth="1"/>
    <col min="6" max="6" width="55" customWidth="1"/>
  </cols>
  <sheetData>
    <row r="1" spans="1:6" x14ac:dyDescent="0.25">
      <c r="A1" s="12" t="s">
        <v>173</v>
      </c>
      <c r="B1" s="11"/>
      <c r="C1" s="11"/>
      <c r="D1" s="11"/>
      <c r="E1" s="11"/>
      <c r="F1" s="11"/>
    </row>
    <row r="2" spans="1:6" x14ac:dyDescent="0.25">
      <c r="A2" s="10" t="s">
        <v>174</v>
      </c>
      <c r="B2" s="11"/>
      <c r="C2" s="11"/>
      <c r="D2" s="11"/>
      <c r="E2" s="11"/>
      <c r="F2" s="11"/>
    </row>
    <row r="3" spans="1:6" x14ac:dyDescent="0.25">
      <c r="A3" s="5" t="s">
        <v>149</v>
      </c>
      <c r="B3" s="5" t="s">
        <v>175</v>
      </c>
      <c r="C3" s="5" t="s">
        <v>176</v>
      </c>
      <c r="D3" s="5" t="s">
        <v>177</v>
      </c>
      <c r="E3" s="5" t="s">
        <v>178</v>
      </c>
      <c r="F3" s="5" t="s">
        <v>179</v>
      </c>
    </row>
    <row r="4" spans="1:6" ht="30" x14ac:dyDescent="0.25">
      <c r="A4" s="1" t="s">
        <v>40</v>
      </c>
      <c r="B4" s="6">
        <f>'P&amp;L'!B4</f>
        <v>-95000</v>
      </c>
      <c r="C4" s="6">
        <v>100000</v>
      </c>
      <c r="D4" s="6">
        <f t="shared" ref="D4:D13" si="0">B4-C4</f>
        <v>-195000</v>
      </c>
      <c r="E4" s="9">
        <f t="shared" ref="E4:E13" si="1">IF(C4=0,0,D4/C4)</f>
        <v>-1.95</v>
      </c>
      <c r="F4" s="1" t="s">
        <v>180</v>
      </c>
    </row>
    <row r="5" spans="1:6" ht="30" x14ac:dyDescent="0.25">
      <c r="A5" s="1" t="s">
        <v>101</v>
      </c>
      <c r="B5" s="6">
        <f>'P&amp;L'!B5</f>
        <v>-1200</v>
      </c>
      <c r="C5" s="6">
        <v>1000</v>
      </c>
      <c r="D5" s="6">
        <f t="shared" si="0"/>
        <v>-2200</v>
      </c>
      <c r="E5" s="9">
        <f t="shared" si="1"/>
        <v>-2.2000000000000002</v>
      </c>
      <c r="F5" s="1" t="s">
        <v>180</v>
      </c>
    </row>
    <row r="6" spans="1:6" ht="30" x14ac:dyDescent="0.25">
      <c r="A6" s="1" t="s">
        <v>45</v>
      </c>
      <c r="B6" s="6">
        <f>'P&amp;L'!B6</f>
        <v>-45500</v>
      </c>
      <c r="C6" s="6">
        <v>40000</v>
      </c>
      <c r="D6" s="6">
        <f t="shared" si="0"/>
        <v>-85500</v>
      </c>
      <c r="E6" s="9">
        <f t="shared" si="1"/>
        <v>-2.1375000000000002</v>
      </c>
      <c r="F6" s="1" t="s">
        <v>180</v>
      </c>
    </row>
    <row r="7" spans="1:6" ht="30" x14ac:dyDescent="0.25">
      <c r="A7" s="1" t="s">
        <v>49</v>
      </c>
      <c r="B7" s="6">
        <f>'P&amp;L'!B7</f>
        <v>-18000</v>
      </c>
      <c r="C7" s="6">
        <v>17000</v>
      </c>
      <c r="D7" s="6">
        <f t="shared" si="0"/>
        <v>-35000</v>
      </c>
      <c r="E7" s="9">
        <f t="shared" si="1"/>
        <v>-2.0588235294117645</v>
      </c>
      <c r="F7" s="1" t="s">
        <v>180</v>
      </c>
    </row>
    <row r="8" spans="1:6" ht="30" x14ac:dyDescent="0.25">
      <c r="A8" s="1" t="s">
        <v>53</v>
      </c>
      <c r="B8" s="6">
        <f>'P&amp;L'!B8</f>
        <v>-2500</v>
      </c>
      <c r="C8" s="6">
        <v>2400</v>
      </c>
      <c r="D8" s="6">
        <f t="shared" si="0"/>
        <v>-4900</v>
      </c>
      <c r="E8" s="9">
        <f t="shared" si="1"/>
        <v>-2.0416666666666665</v>
      </c>
      <c r="F8" s="1" t="s">
        <v>180</v>
      </c>
    </row>
    <row r="9" spans="1:6" ht="30" x14ac:dyDescent="0.25">
      <c r="A9" s="1" t="s">
        <v>57</v>
      </c>
      <c r="B9" s="6">
        <f>'P&amp;L'!B9</f>
        <v>-5700</v>
      </c>
      <c r="C9" s="6">
        <v>3500</v>
      </c>
      <c r="D9" s="6">
        <f t="shared" si="0"/>
        <v>-9200</v>
      </c>
      <c r="E9" s="9">
        <f t="shared" si="1"/>
        <v>-2.6285714285714286</v>
      </c>
      <c r="F9" s="1" t="s">
        <v>180</v>
      </c>
    </row>
    <row r="10" spans="1:6" ht="30" x14ac:dyDescent="0.25">
      <c r="A10" s="1" t="s">
        <v>61</v>
      </c>
      <c r="B10" s="6">
        <f>'P&amp;L'!B10</f>
        <v>-3000</v>
      </c>
      <c r="C10" s="6">
        <v>1800</v>
      </c>
      <c r="D10" s="6">
        <f t="shared" si="0"/>
        <v>-4800</v>
      </c>
      <c r="E10" s="9">
        <f t="shared" si="1"/>
        <v>-2.6666666666666665</v>
      </c>
      <c r="F10" s="1" t="s">
        <v>180</v>
      </c>
    </row>
    <row r="11" spans="1:6" ht="30" x14ac:dyDescent="0.25">
      <c r="A11" s="1" t="s">
        <v>65</v>
      </c>
      <c r="B11" s="6">
        <f>'P&amp;L'!B11</f>
        <v>-3000</v>
      </c>
      <c r="C11" s="6">
        <v>2500</v>
      </c>
      <c r="D11" s="6">
        <f t="shared" si="0"/>
        <v>-5500</v>
      </c>
      <c r="E11" s="9">
        <f t="shared" si="1"/>
        <v>-2.2000000000000002</v>
      </c>
      <c r="F11" s="1" t="s">
        <v>180</v>
      </c>
    </row>
    <row r="12" spans="1:6" ht="30" x14ac:dyDescent="0.25">
      <c r="A12" s="1" t="s">
        <v>81</v>
      </c>
      <c r="B12" s="6">
        <f>'P&amp;L'!B12</f>
        <v>-1800</v>
      </c>
      <c r="C12" s="6">
        <v>1500</v>
      </c>
      <c r="D12" s="6">
        <f t="shared" si="0"/>
        <v>-3300</v>
      </c>
      <c r="E12" s="9">
        <f t="shared" si="1"/>
        <v>-2.2000000000000002</v>
      </c>
      <c r="F12" s="1" t="s">
        <v>180</v>
      </c>
    </row>
    <row r="13" spans="1:6" ht="30" x14ac:dyDescent="0.25">
      <c r="A13" s="1" t="s">
        <v>97</v>
      </c>
      <c r="B13" s="6">
        <f>'P&amp;L'!B13</f>
        <v>-650</v>
      </c>
      <c r="C13" s="6">
        <v>400</v>
      </c>
      <c r="D13" s="6">
        <f t="shared" si="0"/>
        <v>-1050</v>
      </c>
      <c r="E13" s="9">
        <f t="shared" si="1"/>
        <v>-2.625</v>
      </c>
      <c r="F13" s="1" t="s">
        <v>180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48" customWidth="1"/>
    <col min="2" max="2" width="22" customWidth="1"/>
    <col min="3" max="3" width="15" customWidth="1"/>
    <col min="4" max="4" width="18" customWidth="1"/>
    <col min="5" max="5" width="55" customWidth="1"/>
  </cols>
  <sheetData>
    <row r="1" spans="1:6" x14ac:dyDescent="0.25">
      <c r="A1" s="12" t="s">
        <v>181</v>
      </c>
      <c r="B1" s="11"/>
      <c r="C1" s="11"/>
      <c r="D1" s="11"/>
      <c r="E1" s="11"/>
      <c r="F1" s="11"/>
    </row>
    <row r="2" spans="1:6" x14ac:dyDescent="0.25">
      <c r="A2" s="10" t="s">
        <v>182</v>
      </c>
      <c r="B2" s="11"/>
      <c r="C2" s="11"/>
      <c r="D2" s="11"/>
      <c r="E2" s="11"/>
      <c r="F2" s="11"/>
    </row>
    <row r="3" spans="1:6" x14ac:dyDescent="0.25">
      <c r="A3" s="5" t="s">
        <v>183</v>
      </c>
      <c r="B3" s="5" t="s">
        <v>184</v>
      </c>
      <c r="C3" s="5" t="s">
        <v>185</v>
      </c>
      <c r="D3" s="5" t="s">
        <v>138</v>
      </c>
      <c r="E3" s="5" t="s">
        <v>186</v>
      </c>
      <c r="F3" s="1"/>
    </row>
    <row r="4" spans="1:6" x14ac:dyDescent="0.25">
      <c r="A4" s="1" t="s">
        <v>187</v>
      </c>
      <c r="B4" s="1" t="s">
        <v>188</v>
      </c>
      <c r="C4" s="1" t="s">
        <v>189</v>
      </c>
      <c r="D4" s="1" t="s">
        <v>190</v>
      </c>
      <c r="E4" s="1" t="s">
        <v>191</v>
      </c>
      <c r="F4" s="1"/>
    </row>
    <row r="5" spans="1:6" x14ac:dyDescent="0.25">
      <c r="A5" s="1" t="s">
        <v>192</v>
      </c>
      <c r="B5" s="1" t="s">
        <v>193</v>
      </c>
      <c r="C5" s="1" t="s">
        <v>189</v>
      </c>
      <c r="D5" s="1" t="s">
        <v>190</v>
      </c>
      <c r="E5" s="1" t="s">
        <v>194</v>
      </c>
      <c r="F5" s="1"/>
    </row>
    <row r="6" spans="1:6" x14ac:dyDescent="0.25">
      <c r="A6" s="1" t="s">
        <v>195</v>
      </c>
      <c r="B6" s="1" t="s">
        <v>193</v>
      </c>
      <c r="C6" s="1" t="s">
        <v>196</v>
      </c>
      <c r="D6" s="1" t="s">
        <v>190</v>
      </c>
      <c r="E6" s="1" t="s">
        <v>197</v>
      </c>
      <c r="F6" s="1"/>
    </row>
    <row r="7" spans="1:6" x14ac:dyDescent="0.25">
      <c r="A7" s="1" t="s">
        <v>198</v>
      </c>
      <c r="B7" s="1" t="s">
        <v>188</v>
      </c>
      <c r="C7" s="1" t="s">
        <v>196</v>
      </c>
      <c r="D7" s="1" t="s">
        <v>190</v>
      </c>
      <c r="E7" s="1" t="s">
        <v>199</v>
      </c>
      <c r="F7" s="1"/>
    </row>
    <row r="8" spans="1:6" x14ac:dyDescent="0.25">
      <c r="A8" s="1" t="s">
        <v>200</v>
      </c>
      <c r="B8" s="1" t="s">
        <v>188</v>
      </c>
      <c r="C8" s="1" t="s">
        <v>196</v>
      </c>
      <c r="D8" s="1" t="s">
        <v>190</v>
      </c>
      <c r="E8" s="1" t="s">
        <v>201</v>
      </c>
      <c r="F8" s="1"/>
    </row>
    <row r="9" spans="1:6" x14ac:dyDescent="0.25">
      <c r="A9" s="1" t="s">
        <v>202</v>
      </c>
      <c r="B9" s="1" t="s">
        <v>193</v>
      </c>
      <c r="C9" s="1" t="s">
        <v>196</v>
      </c>
      <c r="D9" s="1" t="s">
        <v>190</v>
      </c>
      <c r="E9" s="1" t="s">
        <v>203</v>
      </c>
      <c r="F9" s="1"/>
    </row>
    <row r="10" spans="1:6" x14ac:dyDescent="0.25">
      <c r="A10" s="1" t="s">
        <v>204</v>
      </c>
      <c r="B10" s="1" t="s">
        <v>205</v>
      </c>
      <c r="C10" s="1" t="s">
        <v>206</v>
      </c>
      <c r="D10" s="1" t="s">
        <v>207</v>
      </c>
      <c r="E10" s="1" t="s">
        <v>208</v>
      </c>
      <c r="F10" s="1"/>
    </row>
    <row r="11" spans="1:6" x14ac:dyDescent="0.25">
      <c r="A11" s="1" t="s">
        <v>209</v>
      </c>
      <c r="B11" s="1" t="s">
        <v>193</v>
      </c>
      <c r="C11" s="1" t="s">
        <v>206</v>
      </c>
      <c r="D11" s="1" t="s">
        <v>190</v>
      </c>
      <c r="E11" s="1" t="s">
        <v>210</v>
      </c>
      <c r="F11" s="1"/>
    </row>
    <row r="12" spans="1:6" x14ac:dyDescent="0.25">
      <c r="A12" s="1" t="s">
        <v>211</v>
      </c>
      <c r="B12" s="1" t="s">
        <v>193</v>
      </c>
      <c r="C12" s="1" t="s">
        <v>206</v>
      </c>
      <c r="D12" s="1" t="s">
        <v>190</v>
      </c>
      <c r="E12" s="1" t="s">
        <v>212</v>
      </c>
      <c r="F12" s="1"/>
    </row>
    <row r="13" spans="1:6" x14ac:dyDescent="0.25">
      <c r="A13" s="1" t="s">
        <v>213</v>
      </c>
      <c r="B13" s="1" t="s">
        <v>205</v>
      </c>
      <c r="C13" s="1" t="s">
        <v>214</v>
      </c>
      <c r="D13" s="1" t="s">
        <v>215</v>
      </c>
      <c r="E13" s="1" t="s">
        <v>216</v>
      </c>
      <c r="F13" s="1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showGridLines="0" tabSelected="1" workbookViewId="0">
      <pane ySplit="2" topLeftCell="A3" activePane="bottomLeft" state="frozen"/>
      <selection pane="bottomLeft" sqref="A1:F1"/>
    </sheetView>
  </sheetViews>
  <sheetFormatPr defaultRowHeight="15" x14ac:dyDescent="0.25"/>
  <cols>
    <col min="1" max="1" width="90" customWidth="1"/>
    <col min="2" max="2" width="20" customWidth="1"/>
  </cols>
  <sheetData>
    <row r="1" spans="1:6" x14ac:dyDescent="0.25">
      <c r="A1" s="12" t="s">
        <v>217</v>
      </c>
      <c r="B1" s="11"/>
      <c r="C1" s="11"/>
      <c r="D1" s="11"/>
      <c r="E1" s="11"/>
      <c r="F1" s="11"/>
    </row>
    <row r="2" spans="1:6" x14ac:dyDescent="0.25">
      <c r="A2" s="10" t="s">
        <v>218</v>
      </c>
      <c r="B2" s="11"/>
      <c r="C2" s="11"/>
      <c r="D2" s="11"/>
      <c r="E2" s="11"/>
      <c r="F2" s="1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7" t="s">
        <v>40</v>
      </c>
      <c r="B4" s="6">
        <f>'P&amp;L'!B4</f>
        <v>-95000</v>
      </c>
      <c r="C4" s="1"/>
      <c r="D4" s="1"/>
      <c r="E4" s="1"/>
      <c r="F4" s="1"/>
    </row>
    <row r="5" spans="1:6" x14ac:dyDescent="0.25">
      <c r="A5" s="7" t="s">
        <v>101</v>
      </c>
      <c r="B5" s="6">
        <f>'P&amp;L'!B5</f>
        <v>-1200</v>
      </c>
      <c r="C5" s="1"/>
      <c r="D5" s="1"/>
      <c r="E5" s="1"/>
      <c r="F5" s="1"/>
    </row>
    <row r="6" spans="1:6" x14ac:dyDescent="0.25">
      <c r="A6" s="7" t="s">
        <v>219</v>
      </c>
      <c r="B6" s="6">
        <f>-SUM('P&amp;L'!B6:B13)</f>
        <v>80150</v>
      </c>
      <c r="C6" s="1"/>
      <c r="D6" s="1"/>
      <c r="E6" s="1"/>
      <c r="F6" s="1"/>
    </row>
    <row r="7" spans="1:6" x14ac:dyDescent="0.25">
      <c r="A7" s="7" t="s">
        <v>165</v>
      </c>
      <c r="B7" s="6">
        <f>'P&amp;L'!B14</f>
        <v>-176350</v>
      </c>
      <c r="C7" s="1"/>
      <c r="D7" s="1"/>
      <c r="E7" s="1"/>
      <c r="F7" s="1"/>
    </row>
    <row r="8" spans="1:6" x14ac:dyDescent="0.25">
      <c r="A8" s="7" t="s">
        <v>172</v>
      </c>
      <c r="B8" s="6">
        <f>Cash_Flow!B12</f>
        <v>1350</v>
      </c>
      <c r="C8" s="1"/>
      <c r="D8" s="1"/>
      <c r="E8" s="1"/>
      <c r="F8" s="1"/>
    </row>
    <row r="9" spans="1:6" x14ac:dyDescent="0.25">
      <c r="A9" s="7" t="s">
        <v>220</v>
      </c>
      <c r="B9" s="6">
        <f>Balance_Sheet!B20</f>
        <v>373400</v>
      </c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ht="17.25" x14ac:dyDescent="0.25">
      <c r="A12" s="4" t="s">
        <v>221</v>
      </c>
      <c r="B12" s="1"/>
      <c r="C12" s="1"/>
      <c r="D12" s="1"/>
      <c r="E12" s="1"/>
      <c r="F12" s="1"/>
    </row>
    <row r="13" spans="1:6" x14ac:dyDescent="0.25">
      <c r="A13" s="1" t="s">
        <v>222</v>
      </c>
      <c r="B13" s="1"/>
      <c r="C13" s="1"/>
      <c r="D13" s="1"/>
      <c r="E13" s="1"/>
      <c r="F13" s="1"/>
    </row>
    <row r="14" spans="1:6" ht="30" x14ac:dyDescent="0.25">
      <c r="A14" s="1" t="s">
        <v>223</v>
      </c>
      <c r="B14" s="1"/>
      <c r="C14" s="1"/>
      <c r="D14" s="1"/>
      <c r="E14" s="1"/>
      <c r="F14" s="1"/>
    </row>
    <row r="15" spans="1:6" x14ac:dyDescent="0.25">
      <c r="A15" s="1" t="s">
        <v>224</v>
      </c>
      <c r="B15" s="1"/>
      <c r="C15" s="1"/>
      <c r="D15" s="1"/>
      <c r="E15" s="1"/>
      <c r="F15" s="1"/>
    </row>
    <row r="16" spans="1:6" x14ac:dyDescent="0.25">
      <c r="A16" s="1" t="s">
        <v>225</v>
      </c>
      <c r="B16" s="1"/>
      <c r="C16" s="1"/>
      <c r="D16" s="1"/>
      <c r="E16" s="1"/>
      <c r="F16" s="1"/>
    </row>
    <row r="17" spans="1:6" x14ac:dyDescent="0.25">
      <c r="A17" s="1" t="s">
        <v>226</v>
      </c>
      <c r="B17" s="1"/>
      <c r="C17" s="1"/>
      <c r="D17" s="1"/>
      <c r="E17" s="1"/>
      <c r="F17" s="1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GL_Data</vt:lpstr>
      <vt:lpstr>Adjusting_Journals</vt:lpstr>
      <vt:lpstr>Trial_Balance</vt:lpstr>
      <vt:lpstr>BS_Recon</vt:lpstr>
      <vt:lpstr>P&amp;L</vt:lpstr>
      <vt:lpstr>Balance_Sheet</vt:lpstr>
      <vt:lpstr>Cash_Flow</vt:lpstr>
      <vt:lpstr>Variance_Analysis</vt:lpstr>
      <vt:lpstr>Close_Checklist</vt:lpstr>
      <vt:lpstr>Management_Summary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Stasaityte</cp:lastModifiedBy>
  <dcterms:created xsi:type="dcterms:W3CDTF">2026-10-08T08:29:26Z</dcterms:created>
  <dcterms:modified xsi:type="dcterms:W3CDTF">2026-10-08T08:31:54Z</dcterms:modified>
</cp:coreProperties>
</file>