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rial_Balance" sheetId="2" state="visible" r:id="rId2"/>
    <sheet xmlns:r="http://schemas.openxmlformats.org/officeDocument/2006/relationships" name="IFRS_Adjustments" sheetId="3" state="visible" r:id="rId3"/>
    <sheet xmlns:r="http://schemas.openxmlformats.org/officeDocument/2006/relationships" name="IAS_2_Inventory" sheetId="4" state="visible" r:id="rId4"/>
    <sheet xmlns:r="http://schemas.openxmlformats.org/officeDocument/2006/relationships" name="IAS_16_PPE" sheetId="5" state="visible" r:id="rId5"/>
    <sheet xmlns:r="http://schemas.openxmlformats.org/officeDocument/2006/relationships" name="IFRS_15_Revenue" sheetId="6" state="visible" r:id="rId6"/>
    <sheet xmlns:r="http://schemas.openxmlformats.org/officeDocument/2006/relationships" name="IAS_37_Provision" sheetId="7" state="visible" r:id="rId7"/>
    <sheet xmlns:r="http://schemas.openxmlformats.org/officeDocument/2006/relationships" name="IAS_12_Tax" sheetId="8" state="visible" r:id="rId8"/>
    <sheet xmlns:r="http://schemas.openxmlformats.org/officeDocument/2006/relationships" name="Adjusting_JEs" sheetId="9" state="visible" r:id="rId9"/>
    <sheet xmlns:r="http://schemas.openxmlformats.org/officeDocument/2006/relationships" name="Adjusted_TB" sheetId="10" state="visible" r:id="rId10"/>
    <sheet xmlns:r="http://schemas.openxmlformats.org/officeDocument/2006/relationships" name="Income_Statement" sheetId="11" state="visible" r:id="rId11"/>
    <sheet xmlns:r="http://schemas.openxmlformats.org/officeDocument/2006/relationships" name="Balance_Sheet" sheetId="12" state="visible" r:id="rId12"/>
    <sheet xmlns:r="http://schemas.openxmlformats.org/officeDocument/2006/relationships" name="Cash_Flow" sheetId="13" state="visible" r:id="rId13"/>
    <sheet xmlns:r="http://schemas.openxmlformats.org/officeDocument/2006/relationships" name="Equity_Statement" sheetId="14" state="visible" r:id="rId14"/>
    <sheet xmlns:r="http://schemas.openxmlformats.org/officeDocument/2006/relationships" name="Notes_Disclosures" sheetId="15" state="visible" r:id="rId15"/>
    <sheet xmlns:r="http://schemas.openxmlformats.org/officeDocument/2006/relationships" name="IFRS_Checklist" sheetId="16" state="visible" r:id="rId16"/>
    <sheet xmlns:r="http://schemas.openxmlformats.org/officeDocument/2006/relationships" name="Management_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Project 4 — IFRS Financial Statements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Simulated IFRS year-end reporting portfolio project.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Entity</t>
        </is>
      </c>
      <c r="B4" s="2" t="inlineStr">
        <is>
          <t>AVERRA Services Ltd — simulated portfolio company</t>
        </is>
      </c>
      <c r="C4" s="2" t="n"/>
      <c r="D4" s="2" t="n"/>
      <c r="E4" s="2" t="n"/>
      <c r="F4" s="2" t="n"/>
      <c r="G4" s="2" t="n"/>
    </row>
    <row r="5">
      <c r="A5" s="4" t="inlineStr">
        <is>
          <t>Reporting period</t>
        </is>
      </c>
      <c r="B5" s="2" t="inlineStr">
        <is>
          <t>Year ended 31 December 2026</t>
        </is>
      </c>
      <c r="C5" s="2" t="n"/>
      <c r="D5" s="2" t="n"/>
      <c r="E5" s="2" t="n"/>
      <c r="F5" s="2" t="n"/>
      <c r="G5" s="2" t="n"/>
    </row>
    <row r="6">
      <c r="A6" s="4" t="inlineStr">
        <is>
          <t>Framework</t>
        </is>
      </c>
      <c r="B6" s="2" t="inlineStr">
        <is>
          <t>IFRS Accounting Standards — simplified training simulation</t>
        </is>
      </c>
      <c r="C6" s="2" t="n"/>
      <c r="D6" s="2" t="n"/>
      <c r="E6" s="2" t="n"/>
      <c r="F6" s="2" t="n"/>
      <c r="G6" s="2" t="n"/>
    </row>
    <row r="7">
      <c r="A7" s="4" t="inlineStr">
        <is>
          <t>Currency</t>
        </is>
      </c>
      <c r="B7" s="2" t="inlineStr">
        <is>
          <t>GBP</t>
        </is>
      </c>
      <c r="C7" s="2" t="n"/>
      <c r="D7" s="2" t="n"/>
      <c r="E7" s="2" t="n"/>
      <c r="F7" s="2" t="n"/>
      <c r="G7" s="2" t="n"/>
    </row>
    <row r="8">
      <c r="A8" s="4" t="inlineStr">
        <is>
          <t>Standards</t>
        </is>
      </c>
      <c r="B8" s="2" t="inlineStr">
        <is>
          <t>IAS 2, IAS 16, IFRS 15, IAS 37 and IAS 12</t>
        </is>
      </c>
      <c r="C8" s="2" t="n"/>
      <c r="D8" s="2" t="n"/>
      <c r="E8" s="2" t="n"/>
      <c r="F8" s="2" t="n"/>
      <c r="G8" s="2" t="n"/>
    </row>
    <row r="9">
      <c r="A9" s="4" t="inlineStr">
        <is>
          <t>Purpose</t>
        </is>
      </c>
      <c r="B9" s="2" t="inlineStr">
        <is>
          <t>Take a pre-adjustment trial balance through accounting judgement, adjusting journals and financial statements.</t>
        </is>
      </c>
      <c r="C9" s="2" t="n"/>
      <c r="D9" s="2" t="n"/>
      <c r="E9" s="2" t="n"/>
      <c r="F9" s="2" t="n"/>
      <c r="G9" s="2" t="n"/>
    </row>
    <row r="10">
      <c r="A10" s="4" t="inlineStr">
        <is>
          <t>Important</t>
        </is>
      </c>
      <c r="B10" s="2" t="inlineStr">
        <is>
          <t>All data are simulated for portfolio/interview use; they are not actual AVERRA accounts.</t>
        </is>
      </c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5" t="inlineStr">
        <is>
          <t>Workflow</t>
        </is>
      </c>
      <c r="B13" s="2" t="n"/>
      <c r="C13" s="2" t="n"/>
      <c r="D13" s="2" t="n"/>
      <c r="E13" s="2" t="n"/>
      <c r="F13" s="2" t="n"/>
      <c r="G13" s="2" t="n"/>
    </row>
    <row r="14">
      <c r="A14" s="2" t="inlineStr">
        <is>
          <t>1. Review TB</t>
        </is>
      </c>
      <c r="B14" s="2" t="n"/>
      <c r="C14" s="2" t="n"/>
      <c r="D14" s="2" t="n"/>
      <c r="E14" s="2" t="n"/>
      <c r="F14" s="2" t="n"/>
      <c r="G14" s="2" t="n"/>
    </row>
    <row r="15">
      <c r="A15" s="2" t="inlineStr">
        <is>
          <t>2. Assess IFRS issues</t>
        </is>
      </c>
      <c r="B15" s="2" t="n"/>
      <c r="C15" s="2" t="n"/>
      <c r="D15" s="2" t="n"/>
      <c r="E15" s="2" t="n"/>
      <c r="F15" s="2" t="n"/>
      <c r="G15" s="2" t="n"/>
    </row>
    <row r="16">
      <c r="A16" s="2" t="inlineStr">
        <is>
          <t>3. Calculate adjustments</t>
        </is>
      </c>
      <c r="B16" s="2" t="n"/>
      <c r="C16" s="2" t="n"/>
      <c r="D16" s="2" t="n"/>
      <c r="E16" s="2" t="n"/>
      <c r="F16" s="2" t="n"/>
      <c r="G16" s="2" t="n"/>
    </row>
    <row r="17">
      <c r="A17" s="2" t="inlineStr">
        <is>
          <t>4. Post journals</t>
        </is>
      </c>
      <c r="B17" s="2" t="n"/>
      <c r="C17" s="2" t="n"/>
      <c r="D17" s="2" t="n"/>
      <c r="E17" s="2" t="n"/>
      <c r="F17" s="2" t="n"/>
      <c r="G17" s="2" t="n"/>
    </row>
    <row r="18">
      <c r="A18" s="2" t="inlineStr">
        <is>
          <t>5. Prepare adjusted TB</t>
        </is>
      </c>
      <c r="B18" s="2" t="n"/>
      <c r="C18" s="2" t="n"/>
      <c r="D18" s="2" t="n"/>
      <c r="E18" s="2" t="n"/>
      <c r="F18" s="2" t="n"/>
      <c r="G18" s="2" t="n"/>
    </row>
    <row r="19">
      <c r="A19" s="2" t="inlineStr">
        <is>
          <t>6. Prepare statements</t>
        </is>
      </c>
      <c r="B19" s="2" t="n"/>
      <c r="C19" s="2" t="n"/>
      <c r="D19" s="2" t="n"/>
      <c r="E19" s="2" t="n"/>
      <c r="F19" s="2" t="n"/>
      <c r="G19" s="2" t="n"/>
    </row>
    <row r="20">
      <c r="A20" s="2" t="inlineStr">
        <is>
          <t>7. Prepare notes</t>
        </is>
      </c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8. Complete controls</t>
        </is>
      </c>
      <c r="B21" s="2" t="n"/>
      <c r="C21" s="2" t="n"/>
      <c r="D21" s="2" t="n"/>
      <c r="E21" s="2" t="n"/>
      <c r="F21" s="2" t="n"/>
      <c r="G21" s="2" t="n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Pre-Adjustment Trial Balance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Balances before year-end adjustments</t>
        </is>
      </c>
      <c r="B2" s="2" t="n"/>
      <c r="C2" s="2" t="n"/>
      <c r="D2" s="2" t="n"/>
      <c r="E2" s="2" t="n"/>
      <c r="F2" s="2" t="n"/>
      <c r="G2" s="2" t="n"/>
    </row>
    <row r="3">
      <c r="A3" s="6" t="inlineStr">
        <is>
          <t>Account</t>
        </is>
      </c>
      <c r="B3" s="6" t="inlineStr">
        <is>
          <t>Category</t>
        </is>
      </c>
      <c r="C3" s="6" t="inlineStr">
        <is>
          <t>Debit GBP</t>
        </is>
      </c>
      <c r="D3" s="6" t="inlineStr">
        <is>
          <t>Credit GBP</t>
        </is>
      </c>
      <c r="E3" s="6" t="inlineStr">
        <is>
          <t>Net GBP</t>
        </is>
      </c>
      <c r="F3" s="2" t="n"/>
      <c r="G3" s="2" t="n"/>
    </row>
    <row r="4">
      <c r="A4" s="2" t="inlineStr">
        <is>
          <t>Revenue</t>
        </is>
      </c>
      <c r="B4" s="2" t="inlineStr">
        <is>
          <t>P&amp;L</t>
        </is>
      </c>
      <c r="C4" s="7" t="n">
        <v>0</v>
      </c>
      <c r="D4" s="7" t="n">
        <v>420000</v>
      </c>
      <c r="E4" s="7">
        <f>C4-D4</f>
        <v/>
      </c>
      <c r="F4" s="2" t="n"/>
      <c r="G4" s="2" t="n"/>
    </row>
    <row r="5">
      <c r="A5" s="2" t="inlineStr">
        <is>
          <t>Cost of Sales</t>
        </is>
      </c>
      <c r="B5" s="2" t="inlineStr">
        <is>
          <t>P&amp;L</t>
        </is>
      </c>
      <c r="C5" s="7" t="n">
        <v>210000</v>
      </c>
      <c r="D5" s="7" t="n">
        <v>0</v>
      </c>
      <c r="E5" s="7">
        <f>C5-D5</f>
        <v/>
      </c>
      <c r="F5" s="2" t="n"/>
      <c r="G5" s="2" t="n"/>
    </row>
    <row r="6">
      <c r="A6" s="2" t="inlineStr">
        <is>
          <t>Operating Expenses</t>
        </is>
      </c>
      <c r="B6" s="2" t="inlineStr">
        <is>
          <t>P&amp;L</t>
        </is>
      </c>
      <c r="C6" s="7" t="n">
        <v>90000</v>
      </c>
      <c r="D6" s="7" t="n">
        <v>0</v>
      </c>
      <c r="E6" s="7">
        <f>C6-D6</f>
        <v/>
      </c>
      <c r="F6" s="2" t="n"/>
      <c r="G6" s="2" t="n"/>
    </row>
    <row r="7">
      <c r="A7" s="2" t="inlineStr">
        <is>
          <t>Finance Costs</t>
        </is>
      </c>
      <c r="B7" s="2" t="inlineStr">
        <is>
          <t>P&amp;L</t>
        </is>
      </c>
      <c r="C7" s="7" t="n">
        <v>10000</v>
      </c>
      <c r="D7" s="7" t="n">
        <v>0</v>
      </c>
      <c r="E7" s="7">
        <f>C7-D7</f>
        <v/>
      </c>
      <c r="F7" s="2" t="n"/>
      <c r="G7" s="2" t="n"/>
    </row>
    <row r="8">
      <c r="A8" s="2" t="inlineStr">
        <is>
          <t>Cash and Bank</t>
        </is>
      </c>
      <c r="B8" s="2" t="inlineStr">
        <is>
          <t>BS</t>
        </is>
      </c>
      <c r="C8" s="7" t="n">
        <v>75000</v>
      </c>
      <c r="D8" s="7" t="n">
        <v>0</v>
      </c>
      <c r="E8" s="7">
        <f>C8-D8</f>
        <v/>
      </c>
      <c r="F8" s="2" t="n"/>
      <c r="G8" s="2" t="n"/>
    </row>
    <row r="9">
      <c r="A9" s="2" t="inlineStr">
        <is>
          <t>Trade Receivables</t>
        </is>
      </c>
      <c r="B9" s="2" t="inlineStr">
        <is>
          <t>BS</t>
        </is>
      </c>
      <c r="C9" s="7" t="n">
        <v>85000</v>
      </c>
      <c r="D9" s="7" t="n">
        <v>0</v>
      </c>
      <c r="E9" s="7">
        <f>C9-D9</f>
        <v/>
      </c>
      <c r="F9" s="2" t="n"/>
      <c r="G9" s="2" t="n"/>
    </row>
    <row r="10">
      <c r="A10" s="2" t="inlineStr">
        <is>
          <t>Inventory</t>
        </is>
      </c>
      <c r="B10" s="2" t="inlineStr">
        <is>
          <t>BS</t>
        </is>
      </c>
      <c r="C10" s="7" t="n">
        <v>70000</v>
      </c>
      <c r="D10" s="7" t="n">
        <v>0</v>
      </c>
      <c r="E10" s="7">
        <f>C10-D10</f>
        <v/>
      </c>
      <c r="F10" s="2" t="n"/>
      <c r="G10" s="2" t="n"/>
    </row>
    <row r="11">
      <c r="A11" s="2" t="inlineStr">
        <is>
          <t>Property, Plant &amp; Equipment</t>
        </is>
      </c>
      <c r="B11" s="2" t="inlineStr">
        <is>
          <t>BS</t>
        </is>
      </c>
      <c r="C11" s="7" t="n">
        <v>180000</v>
      </c>
      <c r="D11" s="7" t="n">
        <v>0</v>
      </c>
      <c r="E11" s="7">
        <f>C11-D11</f>
        <v/>
      </c>
      <c r="F11" s="2" t="n"/>
      <c r="G11" s="2" t="n"/>
    </row>
    <row r="12">
      <c r="A12" s="2" t="inlineStr">
        <is>
          <t>Accumulated Depreciation</t>
        </is>
      </c>
      <c r="B12" s="2" t="inlineStr">
        <is>
          <t>BS</t>
        </is>
      </c>
      <c r="C12" s="7" t="n">
        <v>0</v>
      </c>
      <c r="D12" s="7" t="n">
        <v>40000</v>
      </c>
      <c r="E12" s="7">
        <f>C12-D12</f>
        <v/>
      </c>
      <c r="F12" s="2" t="n"/>
      <c r="G12" s="2" t="n"/>
    </row>
    <row r="13">
      <c r="A13" s="2" t="inlineStr">
        <is>
          <t>Trade Payables</t>
        </is>
      </c>
      <c r="B13" s="2" t="inlineStr">
        <is>
          <t>BS</t>
        </is>
      </c>
      <c r="C13" s="7" t="n">
        <v>0</v>
      </c>
      <c r="D13" s="7" t="n">
        <v>65000</v>
      </c>
      <c r="E13" s="7">
        <f>C13-D13</f>
        <v/>
      </c>
      <c r="F13" s="2" t="n"/>
      <c r="G13" s="2" t="n"/>
    </row>
    <row r="14">
      <c r="A14" s="2" t="inlineStr">
        <is>
          <t>Bank Loan</t>
        </is>
      </c>
      <c r="B14" s="2" t="inlineStr">
        <is>
          <t>BS</t>
        </is>
      </c>
      <c r="C14" s="7" t="n">
        <v>0</v>
      </c>
      <c r="D14" s="7" t="n">
        <v>100000</v>
      </c>
      <c r="E14" s="7">
        <f>C14-D14</f>
        <v/>
      </c>
      <c r="F14" s="2" t="n"/>
      <c r="G14" s="2" t="n"/>
    </row>
    <row r="15">
      <c r="A15" s="2" t="inlineStr">
        <is>
          <t>Share Capital</t>
        </is>
      </c>
      <c r="B15" s="2" t="inlineStr">
        <is>
          <t>BS</t>
        </is>
      </c>
      <c r="C15" s="7" t="n">
        <v>0</v>
      </c>
      <c r="D15" s="7" t="n">
        <v>100000</v>
      </c>
      <c r="E15" s="7">
        <f>C15-D15</f>
        <v/>
      </c>
      <c r="F15" s="2" t="n"/>
      <c r="G15" s="2" t="n"/>
    </row>
    <row r="16">
      <c r="A16" s="2" t="inlineStr">
        <is>
          <t>Retained Earnings — Opening</t>
        </is>
      </c>
      <c r="B16" s="2" t="inlineStr">
        <is>
          <t>BS</t>
        </is>
      </c>
      <c r="C16" s="7" t="n">
        <v>0</v>
      </c>
      <c r="D16" s="7" t="n">
        <v>90000</v>
      </c>
      <c r="E16" s="7">
        <f>C16-D16</f>
        <v/>
      </c>
      <c r="F16" s="2" t="n"/>
      <c r="G16" s="2" t="n"/>
    </row>
    <row r="17">
      <c r="A17" s="2" t="inlineStr">
        <is>
          <t>Tax Payable</t>
        </is>
      </c>
      <c r="B17" s="2" t="inlineStr">
        <is>
          <t>BS</t>
        </is>
      </c>
      <c r="C17" s="7" t="n">
        <v>0</v>
      </c>
      <c r="D17" s="7" t="n">
        <v>5000</v>
      </c>
      <c r="E17" s="7">
        <f>C17-D17</f>
        <v/>
      </c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8" t="inlineStr">
        <is>
          <t>TOTAL</t>
        </is>
      </c>
      <c r="B19" s="8" t="n"/>
      <c r="C19" s="9">
        <f>SUM(C4:C17)</f>
        <v/>
      </c>
      <c r="D19" s="9">
        <f>SUM(D4:D17)</f>
        <v/>
      </c>
      <c r="E19" s="9">
        <f>C19-D19</f>
        <v/>
      </c>
      <c r="F19" s="2" t="n"/>
      <c r="G19" s="2" t="n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60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IFRS Adjustment Register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Year-end accounting assessments</t>
        </is>
      </c>
      <c r="B2" s="2" t="n"/>
      <c r="C2" s="2" t="n"/>
      <c r="D2" s="2" t="n"/>
      <c r="E2" s="2" t="n"/>
      <c r="F2" s="2" t="n"/>
      <c r="G2" s="2" t="n"/>
    </row>
    <row r="3">
      <c r="A3" s="6" t="inlineStr">
        <is>
          <t>Ref</t>
        </is>
      </c>
      <c r="B3" s="6" t="inlineStr">
        <is>
          <t>Standard</t>
        </is>
      </c>
      <c r="C3" s="6" t="inlineStr">
        <is>
          <t>Issue</t>
        </is>
      </c>
      <c r="D3" s="6" t="inlineStr">
        <is>
          <t>Calculation / Assessment</t>
        </is>
      </c>
      <c r="E3" s="6" t="inlineStr">
        <is>
          <t>Debit GBP</t>
        </is>
      </c>
      <c r="F3" s="6" t="inlineStr">
        <is>
          <t>Credit GBP</t>
        </is>
      </c>
      <c r="G3" s="6" t="inlineStr">
        <is>
          <t>Treatment</t>
        </is>
      </c>
    </row>
    <row r="4">
      <c r="A4" s="2" t="inlineStr">
        <is>
          <t>A01</t>
        </is>
      </c>
      <c r="B4" s="2" t="inlineStr">
        <is>
          <t>IAS 2</t>
        </is>
      </c>
      <c r="C4" s="2" t="inlineStr">
        <is>
          <t>Inventory NRV below cost</t>
        </is>
      </c>
      <c r="D4" s="2" t="inlineStr">
        <is>
          <t>Cost £70,000; NRV £64,000 → write-down £6,000</t>
        </is>
      </c>
      <c r="E4" s="7" t="n">
        <v>6000</v>
      </c>
      <c r="F4" s="7" t="n">
        <v>6000</v>
      </c>
      <c r="G4" s="2" t="inlineStr">
        <is>
          <t>Reduce inventory and recognise expense.</t>
        </is>
      </c>
    </row>
    <row r="5">
      <c r="A5" s="2" t="inlineStr">
        <is>
          <t>A02</t>
        </is>
      </c>
      <c r="B5" s="2" t="inlineStr">
        <is>
          <t>IAS 16</t>
        </is>
      </c>
      <c r="C5" s="2" t="inlineStr">
        <is>
          <t>Depreciation not recorded</t>
        </is>
      </c>
      <c r="D5" s="2" t="inlineStr">
        <is>
          <t>New equipment £60,000 / 5 years = £12,000</t>
        </is>
      </c>
      <c r="E5" s="7" t="n">
        <v>12000</v>
      </c>
      <c r="F5" s="7" t="n">
        <v>12000</v>
      </c>
      <c r="G5" s="2" t="inlineStr">
        <is>
          <t>Recognise depreciation and accumulated depreciation.</t>
        </is>
      </c>
    </row>
    <row r="6">
      <c r="A6" s="2" t="inlineStr">
        <is>
          <t>A03</t>
        </is>
      </c>
      <c r="B6" s="2" t="inlineStr">
        <is>
          <t>IFRS 15</t>
        </is>
      </c>
      <c r="C6" s="2" t="inlineStr">
        <is>
          <t>Revenue recognised before performance</t>
        </is>
      </c>
      <c r="D6" s="2" t="inlineStr">
        <is>
          <t>£20,000 relates to services delivered next year</t>
        </is>
      </c>
      <c r="E6" s="7" t="n">
        <v>20000</v>
      </c>
      <c r="F6" s="7" t="n">
        <v>20000</v>
      </c>
      <c r="G6" s="2" t="inlineStr">
        <is>
          <t>Reverse revenue; recognise contract liability.</t>
        </is>
      </c>
    </row>
    <row r="7">
      <c r="A7" s="2" t="inlineStr">
        <is>
          <t>A04</t>
        </is>
      </c>
      <c r="B7" s="2" t="inlineStr">
        <is>
          <t>IAS 37</t>
        </is>
      </c>
      <c r="C7" s="2" t="inlineStr">
        <is>
          <t>Probable legal obligation</t>
        </is>
      </c>
      <c r="D7" s="2" t="inlineStr">
        <is>
          <t>Best estimate = £15,000</t>
        </is>
      </c>
      <c r="E7" s="7" t="n">
        <v>15000</v>
      </c>
      <c r="F7" s="7" t="n">
        <v>15000</v>
      </c>
      <c r="G7" s="2" t="inlineStr">
        <is>
          <t>Recognise provision and expense.</t>
        </is>
      </c>
    </row>
    <row r="8">
      <c r="A8" s="2" t="inlineStr">
        <is>
          <t>A05</t>
        </is>
      </c>
      <c r="B8" s="2" t="inlineStr">
        <is>
          <t>IAS 12</t>
        </is>
      </c>
      <c r="C8" s="2" t="inlineStr">
        <is>
          <t>Current tax estimate</t>
        </is>
      </c>
      <c r="D8" s="2" t="inlineStr">
        <is>
          <t>£67,000 pre-tax profit after A01–A04 × 25%</t>
        </is>
      </c>
      <c r="E8" s="7" t="n">
        <v>16750</v>
      </c>
      <c r="F8" s="7" t="n">
        <v>16750</v>
      </c>
      <c r="G8" s="2" t="inlineStr">
        <is>
          <t>Recognise current tax expense and payable.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55" customWidth="1" min="3" max="3"/>
  </cols>
  <sheetData>
    <row r="1">
      <c r="A1" s="1" t="inlineStr">
        <is>
          <t>IAS 2 — Inventory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6" t="inlineStr">
        <is>
          <t>Metric</t>
        </is>
      </c>
      <c r="B3" s="6" t="inlineStr">
        <is>
          <t>Amount / Result</t>
        </is>
      </c>
      <c r="C3" s="6" t="inlineStr">
        <is>
          <t>Conclusion</t>
        </is>
      </c>
      <c r="D3" s="2" t="n"/>
      <c r="E3" s="2" t="n"/>
      <c r="F3" s="2" t="n"/>
      <c r="G3" s="2" t="n"/>
    </row>
    <row r="4">
      <c r="A4" s="2" t="inlineStr">
        <is>
          <t>Inventory at cost</t>
        </is>
      </c>
      <c r="B4" s="2" t="n">
        <v>70000</v>
      </c>
      <c r="C4" s="2" t="inlineStr"/>
      <c r="D4" s="2" t="n"/>
      <c r="E4" s="2" t="n"/>
      <c r="F4" s="2" t="n"/>
      <c r="G4" s="2" t="n"/>
    </row>
    <row r="5">
      <c r="A5" s="2" t="inlineStr">
        <is>
          <t>Estimated selling price</t>
        </is>
      </c>
      <c r="B5" s="2" t="n">
        <v>69000</v>
      </c>
      <c r="C5" s="2" t="inlineStr"/>
      <c r="D5" s="2" t="n"/>
      <c r="E5" s="2" t="n"/>
      <c r="F5" s="2" t="n"/>
      <c r="G5" s="2" t="n"/>
    </row>
    <row r="6">
      <c r="A6" s="2" t="inlineStr">
        <is>
          <t>Costs to complete / sell</t>
        </is>
      </c>
      <c r="B6" s="2" t="n">
        <v>5000</v>
      </c>
      <c r="C6" s="2" t="inlineStr"/>
      <c r="D6" s="2" t="n"/>
      <c r="E6" s="2" t="n"/>
      <c r="F6" s="2" t="n"/>
      <c r="G6" s="2" t="n"/>
    </row>
    <row r="7">
      <c r="A7" s="2" t="inlineStr">
        <is>
          <t>NRV</t>
        </is>
      </c>
      <c r="B7" s="2" t="n">
        <v>64000</v>
      </c>
      <c r="C7" s="2" t="inlineStr">
        <is>
          <t>£69,000 − £5,000</t>
        </is>
      </c>
      <c r="D7" s="2" t="n"/>
      <c r="E7" s="2" t="n"/>
      <c r="F7" s="2" t="n"/>
      <c r="G7" s="2" t="n"/>
    </row>
    <row r="8">
      <c r="A8" s="2" t="inlineStr">
        <is>
          <t>Carrying amount</t>
        </is>
      </c>
      <c r="B8" s="2" t="n">
        <v>64000</v>
      </c>
      <c r="C8" s="2" t="inlineStr">
        <is>
          <t>Lower of cost and NRV</t>
        </is>
      </c>
      <c r="D8" s="2" t="n"/>
      <c r="E8" s="2" t="n"/>
      <c r="F8" s="2" t="n"/>
      <c r="G8" s="2" t="n"/>
    </row>
    <row r="9">
      <c r="A9" s="2" t="inlineStr">
        <is>
          <t>Write-down</t>
        </is>
      </c>
      <c r="B9" s="2" t="n">
        <v>6000</v>
      </c>
      <c r="C9" s="2" t="inlineStr">
        <is>
          <t>Expense recognised</t>
        </is>
      </c>
      <c r="D9" s="2" t="n"/>
      <c r="E9" s="2" t="n"/>
      <c r="F9" s="2" t="n"/>
      <c r="G9" s="2" t="n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58" customWidth="1" min="3" max="3"/>
  </cols>
  <sheetData>
    <row r="1">
      <c r="A1" s="1" t="inlineStr">
        <is>
          <t>IAS 16 — PPE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6" t="inlineStr">
        <is>
          <t>Metric</t>
        </is>
      </c>
      <c r="B3" s="6" t="inlineStr">
        <is>
          <t>Amount / Result</t>
        </is>
      </c>
      <c r="C3" s="6" t="inlineStr">
        <is>
          <t>Conclusion</t>
        </is>
      </c>
      <c r="D3" s="2" t="n"/>
      <c r="E3" s="2" t="n"/>
      <c r="F3" s="2" t="n"/>
      <c r="G3" s="2" t="n"/>
    </row>
    <row r="4">
      <c r="A4" s="2" t="inlineStr">
        <is>
          <t>New equipment cost</t>
        </is>
      </c>
      <c r="B4" s="2" t="n">
        <v>60000</v>
      </c>
      <c r="C4" s="2" t="inlineStr">
        <is>
          <t>Capitalised</t>
        </is>
      </c>
      <c r="D4" s="2" t="n"/>
      <c r="E4" s="2" t="n"/>
      <c r="F4" s="2" t="n"/>
      <c r="G4" s="2" t="n"/>
    </row>
    <row r="5">
      <c r="A5" s="2" t="inlineStr">
        <is>
          <t>Useful life</t>
        </is>
      </c>
      <c r="B5" s="2" t="n">
        <v>5</v>
      </c>
      <c r="C5" s="2" t="inlineStr">
        <is>
          <t>Years</t>
        </is>
      </c>
      <c r="D5" s="2" t="n"/>
      <c r="E5" s="2" t="n"/>
      <c r="F5" s="2" t="n"/>
      <c r="G5" s="2" t="n"/>
    </row>
    <row r="6">
      <c r="A6" s="2" t="inlineStr">
        <is>
          <t>Residual value</t>
        </is>
      </c>
      <c r="B6" s="2" t="n">
        <v>0</v>
      </c>
      <c r="C6" s="2" t="inlineStr">
        <is>
          <t>Assumption</t>
        </is>
      </c>
      <c r="D6" s="2" t="n"/>
      <c r="E6" s="2" t="n"/>
      <c r="F6" s="2" t="n"/>
      <c r="G6" s="2" t="n"/>
    </row>
    <row r="7">
      <c r="A7" s="2" t="inlineStr">
        <is>
          <t>Method</t>
        </is>
      </c>
      <c r="B7" s="2" t="inlineStr">
        <is>
          <t>Straight-line</t>
        </is>
      </c>
      <c r="C7" s="2" t="inlineStr"/>
      <c r="D7" s="2" t="n"/>
      <c r="E7" s="2" t="n"/>
      <c r="F7" s="2" t="n"/>
      <c r="G7" s="2" t="n"/>
    </row>
    <row r="8">
      <c r="A8" s="2" t="inlineStr">
        <is>
          <t>Annual depreciation</t>
        </is>
      </c>
      <c r="B8" s="2" t="n">
        <v>12000</v>
      </c>
      <c r="C8" s="2" t="inlineStr">
        <is>
          <t>£60,000 / 5</t>
        </is>
      </c>
      <c r="D8" s="2" t="n"/>
      <c r="E8" s="2" t="n"/>
      <c r="F8" s="2" t="n"/>
      <c r="G8" s="2" t="n"/>
    </row>
    <row r="9">
      <c r="A9" s="2" t="inlineStr">
        <is>
          <t>Closing accumulated depreciation</t>
        </is>
      </c>
      <c r="B9" s="2" t="n">
        <v>52000</v>
      </c>
      <c r="C9" s="2" t="inlineStr">
        <is>
          <t>£40,000 + £12,000</t>
        </is>
      </c>
      <c r="D9" s="2" t="n"/>
      <c r="E9" s="2" t="n"/>
      <c r="F9" s="2" t="n"/>
      <c r="G9" s="2" t="n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  <col width="60" customWidth="1" min="3" max="3"/>
  </cols>
  <sheetData>
    <row r="1">
      <c r="A1" s="1" t="inlineStr">
        <is>
          <t>IFRS 15 — Revenue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6" t="inlineStr">
        <is>
          <t>Metric</t>
        </is>
      </c>
      <c r="B3" s="6" t="inlineStr">
        <is>
          <t>Amount / Result</t>
        </is>
      </c>
      <c r="C3" s="6" t="inlineStr">
        <is>
          <t>Conclusion</t>
        </is>
      </c>
      <c r="D3" s="2" t="n"/>
      <c r="E3" s="2" t="n"/>
      <c r="F3" s="2" t="n"/>
      <c r="G3" s="2" t="n"/>
    </row>
    <row r="4">
      <c r="A4" s="2" t="inlineStr">
        <is>
          <t>Invoice raised</t>
        </is>
      </c>
      <c r="B4" s="2" t="n">
        <v>20000</v>
      </c>
      <c r="C4" s="2" t="inlineStr">
        <is>
          <t>Customer invoiced</t>
        </is>
      </c>
      <c r="D4" s="2" t="n"/>
      <c r="E4" s="2" t="n"/>
      <c r="F4" s="2" t="n"/>
      <c r="G4" s="2" t="n"/>
    </row>
    <row r="5">
      <c r="A5" s="2" t="inlineStr">
        <is>
          <t>Performance obligation satisfied by year-end</t>
        </is>
      </c>
      <c r="B5" s="2" t="n">
        <v>0</v>
      </c>
      <c r="C5" s="2" t="inlineStr">
        <is>
          <t>Next-year service</t>
        </is>
      </c>
      <c r="D5" s="2" t="n"/>
      <c r="E5" s="2" t="n"/>
      <c r="F5" s="2" t="n"/>
      <c r="G5" s="2" t="n"/>
    </row>
    <row r="6">
      <c r="A6" s="2" t="inlineStr">
        <is>
          <t>Revenue recognised</t>
        </is>
      </c>
      <c r="B6" s="2" t="n">
        <v>0</v>
      </c>
      <c r="C6" s="2" t="inlineStr">
        <is>
          <t>Not yet earned</t>
        </is>
      </c>
      <c r="D6" s="2" t="n"/>
      <c r="E6" s="2" t="n"/>
      <c r="F6" s="2" t="n"/>
      <c r="G6" s="2" t="n"/>
    </row>
    <row r="7">
      <c r="A7" s="2" t="inlineStr">
        <is>
          <t>Contract liability</t>
        </is>
      </c>
      <c r="B7" s="2" t="n">
        <v>20000</v>
      </c>
      <c r="C7" s="2" t="inlineStr">
        <is>
          <t>Deferred revenue</t>
        </is>
      </c>
      <c r="D7" s="2" t="n"/>
      <c r="E7" s="2" t="n"/>
      <c r="F7" s="2" t="n"/>
      <c r="G7" s="2" t="n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8" customWidth="1" min="3" max="3"/>
  </cols>
  <sheetData>
    <row r="1">
      <c r="A1" s="1" t="inlineStr">
        <is>
          <t>IAS 37 — Provision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6" t="inlineStr">
        <is>
          <t>Metric</t>
        </is>
      </c>
      <c r="B3" s="6" t="inlineStr">
        <is>
          <t>Amount / Result</t>
        </is>
      </c>
      <c r="C3" s="6" t="inlineStr">
        <is>
          <t>Conclusion</t>
        </is>
      </c>
      <c r="D3" s="2" t="n"/>
      <c r="E3" s="2" t="n"/>
      <c r="F3" s="2" t="n"/>
      <c r="G3" s="2" t="n"/>
    </row>
    <row r="4">
      <c r="A4" s="2" t="inlineStr">
        <is>
          <t>Nature</t>
        </is>
      </c>
      <c r="B4" s="2" t="inlineStr">
        <is>
          <t>Legal claim</t>
        </is>
      </c>
      <c r="C4" s="2" t="inlineStr"/>
      <c r="D4" s="2" t="n"/>
      <c r="E4" s="2" t="n"/>
      <c r="F4" s="2" t="n"/>
      <c r="G4" s="2" t="n"/>
    </row>
    <row r="5">
      <c r="A5" s="2" t="inlineStr">
        <is>
          <t>Probability</t>
        </is>
      </c>
      <c r="B5" s="2" t="inlineStr">
        <is>
          <t>Probable</t>
        </is>
      </c>
      <c r="C5" s="2" t="inlineStr">
        <is>
          <t>Recognition threshold met</t>
        </is>
      </c>
      <c r="D5" s="2" t="n"/>
      <c r="E5" s="2" t="n"/>
      <c r="F5" s="2" t="n"/>
      <c r="G5" s="2" t="n"/>
    </row>
    <row r="6">
      <c r="A6" s="2" t="inlineStr">
        <is>
          <t>Best estimate</t>
        </is>
      </c>
      <c r="B6" s="2" t="n">
        <v>15000</v>
      </c>
      <c r="C6" s="2" t="inlineStr">
        <is>
          <t>Recognise provision</t>
        </is>
      </c>
      <c r="D6" s="2" t="n"/>
      <c r="E6" s="2" t="n"/>
      <c r="F6" s="2" t="n"/>
      <c r="G6" s="2" t="n"/>
    </row>
    <row r="7">
      <c r="A7" s="2" t="inlineStr">
        <is>
          <t>Disclosure</t>
        </is>
      </c>
      <c r="B7" s="2" t="inlineStr">
        <is>
          <t>Nature, timing and uncertainty</t>
        </is>
      </c>
      <c r="C7" s="2" t="inlineStr">
        <is>
          <t>Notes</t>
        </is>
      </c>
      <c r="D7" s="2" t="n"/>
      <c r="E7" s="2" t="n"/>
      <c r="F7" s="2" t="n"/>
      <c r="G7" s="2" t="n"/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55" customWidth="1" min="3" max="3"/>
  </cols>
  <sheetData>
    <row r="1">
      <c r="A1" s="1" t="inlineStr">
        <is>
          <t>IAS 12 — Tax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6" t="inlineStr">
        <is>
          <t>Metric</t>
        </is>
      </c>
      <c r="B3" s="6" t="inlineStr">
        <is>
          <t>Amount / Result</t>
        </is>
      </c>
      <c r="C3" s="6" t="inlineStr">
        <is>
          <t>Conclusion</t>
        </is>
      </c>
      <c r="D3" s="2" t="n"/>
      <c r="E3" s="2" t="n"/>
      <c r="F3" s="2" t="n"/>
      <c r="G3" s="2" t="n"/>
    </row>
    <row r="4">
      <c r="A4" s="2" t="inlineStr">
        <is>
          <t>Profit before tax after A01–A04</t>
        </is>
      </c>
      <c r="B4" s="2" t="n">
        <v>67000</v>
      </c>
      <c r="C4" s="2" t="inlineStr">
        <is>
          <t>Training calculation</t>
        </is>
      </c>
      <c r="D4" s="2" t="n"/>
      <c r="E4" s="2" t="n"/>
      <c r="F4" s="2" t="n"/>
      <c r="G4" s="2" t="n"/>
    </row>
    <row r="5">
      <c r="A5" s="2" t="inlineStr">
        <is>
          <t>Assumed tax rate</t>
        </is>
      </c>
      <c r="B5" s="2" t="n">
        <v>0.25</v>
      </c>
      <c r="C5" s="2" t="inlineStr">
        <is>
          <t>25%</t>
        </is>
      </c>
      <c r="D5" s="2" t="n"/>
      <c r="E5" s="2" t="n"/>
      <c r="F5" s="2" t="n"/>
      <c r="G5" s="2" t="n"/>
    </row>
    <row r="6">
      <c r="A6" s="2" t="inlineStr">
        <is>
          <t>Current tax expense</t>
        </is>
      </c>
      <c r="B6" s="2" t="n">
        <v>16750</v>
      </c>
      <c r="C6" s="2" t="inlineStr">
        <is>
          <t>£67,000 × 25%</t>
        </is>
      </c>
      <c r="D6" s="2" t="n"/>
      <c r="E6" s="2" t="n"/>
      <c r="F6" s="2" t="n"/>
      <c r="G6" s="2" t="n"/>
    </row>
    <row r="7">
      <c r="A7" s="2" t="inlineStr">
        <is>
          <t>Tax payable</t>
        </is>
      </c>
      <c r="B7" s="2" t="n">
        <v>16750</v>
      </c>
      <c r="C7" s="2" t="inlineStr">
        <is>
          <t>Recognise liability</t>
        </is>
      </c>
      <c r="D7" s="2" t="n"/>
      <c r="E7" s="2" t="n"/>
      <c r="F7" s="2" t="n"/>
      <c r="G7" s="2" t="n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8" customWidth="1" min="3" max="3"/>
    <col width="18" customWidth="1" min="4" max="4"/>
    <col width="45" customWidth="1" min="5" max="5"/>
  </cols>
  <sheetData>
    <row r="1">
      <c r="A1" s="1" t="inlineStr">
        <is>
          <t>Adjusting Journal Entries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Year-end IFRS postings</t>
        </is>
      </c>
      <c r="B2" s="2" t="n"/>
      <c r="C2" s="2" t="n"/>
      <c r="D2" s="2" t="n"/>
      <c r="E2" s="2" t="n"/>
      <c r="F2" s="2" t="n"/>
      <c r="G2" s="2" t="n"/>
    </row>
    <row r="3">
      <c r="A3" s="6" t="inlineStr">
        <is>
          <t>Ref</t>
        </is>
      </c>
      <c r="B3" s="6" t="inlineStr">
        <is>
          <t>Account</t>
        </is>
      </c>
      <c r="C3" s="6" t="inlineStr">
        <is>
          <t>Debit GBP</t>
        </is>
      </c>
      <c r="D3" s="6" t="inlineStr">
        <is>
          <t>Credit GBP</t>
        </is>
      </c>
      <c r="E3" s="6" t="inlineStr">
        <is>
          <t>Explanation</t>
        </is>
      </c>
      <c r="F3" s="2" t="n"/>
      <c r="G3" s="2" t="n"/>
    </row>
    <row r="4">
      <c r="A4" s="2" t="inlineStr">
        <is>
          <t>A01</t>
        </is>
      </c>
      <c r="B4" s="2" t="inlineStr">
        <is>
          <t>Inventory Write-down Expense</t>
        </is>
      </c>
      <c r="C4" s="7" t="n">
        <v>6000</v>
      </c>
      <c r="D4" s="7" t="n">
        <v>0</v>
      </c>
      <c r="E4" s="2" t="inlineStr">
        <is>
          <t>IAS 2</t>
        </is>
      </c>
      <c r="F4" s="2" t="n"/>
      <c r="G4" s="2" t="n"/>
    </row>
    <row r="5">
      <c r="A5" s="2" t="inlineStr">
        <is>
          <t>A01</t>
        </is>
      </c>
      <c r="B5" s="2" t="inlineStr">
        <is>
          <t>Inventory</t>
        </is>
      </c>
      <c r="C5" s="7" t="n">
        <v>0</v>
      </c>
      <c r="D5" s="7" t="n">
        <v>6000</v>
      </c>
      <c r="E5" s="2" t="inlineStr">
        <is>
          <t>Reduce inventory</t>
        </is>
      </c>
      <c r="F5" s="2" t="n"/>
      <c r="G5" s="2" t="n"/>
    </row>
    <row r="6">
      <c r="A6" s="2" t="inlineStr">
        <is>
          <t>A02</t>
        </is>
      </c>
      <c r="B6" s="2" t="inlineStr">
        <is>
          <t>Depreciation Expense</t>
        </is>
      </c>
      <c r="C6" s="7" t="n">
        <v>12000</v>
      </c>
      <c r="D6" s="7" t="n">
        <v>0</v>
      </c>
      <c r="E6" s="2" t="inlineStr">
        <is>
          <t>IAS 16</t>
        </is>
      </c>
      <c r="F6" s="2" t="n"/>
      <c r="G6" s="2" t="n"/>
    </row>
    <row r="7">
      <c r="A7" s="2" t="inlineStr">
        <is>
          <t>A02</t>
        </is>
      </c>
      <c r="B7" s="2" t="inlineStr">
        <is>
          <t>Accumulated Depreciation</t>
        </is>
      </c>
      <c r="C7" s="7" t="n">
        <v>0</v>
      </c>
      <c r="D7" s="7" t="n">
        <v>12000</v>
      </c>
      <c r="E7" s="2" t="inlineStr">
        <is>
          <t>Increase accumulated depreciation</t>
        </is>
      </c>
      <c r="F7" s="2" t="n"/>
      <c r="G7" s="2" t="n"/>
    </row>
    <row r="8">
      <c r="A8" s="2" t="inlineStr">
        <is>
          <t>A03</t>
        </is>
      </c>
      <c r="B8" s="2" t="inlineStr">
        <is>
          <t>Revenue</t>
        </is>
      </c>
      <c r="C8" s="7" t="n">
        <v>20000</v>
      </c>
      <c r="D8" s="7" t="n">
        <v>0</v>
      </c>
      <c r="E8" s="2" t="inlineStr">
        <is>
          <t>Reverse unearned revenue</t>
        </is>
      </c>
      <c r="F8" s="2" t="n"/>
      <c r="G8" s="2" t="n"/>
    </row>
    <row r="9">
      <c r="A9" s="2" t="inlineStr">
        <is>
          <t>A03</t>
        </is>
      </c>
      <c r="B9" s="2" t="inlineStr">
        <is>
          <t>Contract Liability</t>
        </is>
      </c>
      <c r="C9" s="7" t="n">
        <v>0</v>
      </c>
      <c r="D9" s="7" t="n">
        <v>20000</v>
      </c>
      <c r="E9" s="2" t="inlineStr">
        <is>
          <t>Defer revenue</t>
        </is>
      </c>
      <c r="F9" s="2" t="n"/>
      <c r="G9" s="2" t="n"/>
    </row>
    <row r="10">
      <c r="A10" s="2" t="inlineStr">
        <is>
          <t>A04</t>
        </is>
      </c>
      <c r="B10" s="2" t="inlineStr">
        <is>
          <t>Legal Expense</t>
        </is>
      </c>
      <c r="C10" s="7" t="n">
        <v>15000</v>
      </c>
      <c r="D10" s="7" t="n">
        <v>0</v>
      </c>
      <c r="E10" s="2" t="inlineStr">
        <is>
          <t>IAS 37</t>
        </is>
      </c>
      <c r="F10" s="2" t="n"/>
      <c r="G10" s="2" t="n"/>
    </row>
    <row r="11">
      <c r="A11" s="2" t="inlineStr">
        <is>
          <t>A04</t>
        </is>
      </c>
      <c r="B11" s="2" t="inlineStr">
        <is>
          <t>Legal Provision</t>
        </is>
      </c>
      <c r="C11" s="7" t="n">
        <v>0</v>
      </c>
      <c r="D11" s="7" t="n">
        <v>15000</v>
      </c>
      <c r="E11" s="2" t="inlineStr">
        <is>
          <t>Recognise provision</t>
        </is>
      </c>
      <c r="F11" s="2" t="n"/>
      <c r="G11" s="2" t="n"/>
    </row>
    <row r="12">
      <c r="A12" s="2" t="inlineStr">
        <is>
          <t>A05</t>
        </is>
      </c>
      <c r="B12" s="2" t="inlineStr">
        <is>
          <t>Income Tax Expense</t>
        </is>
      </c>
      <c r="C12" s="7" t="n">
        <v>16750</v>
      </c>
      <c r="D12" s="7" t="n">
        <v>0</v>
      </c>
      <c r="E12" s="2" t="inlineStr">
        <is>
          <t>IAS 12</t>
        </is>
      </c>
      <c r="F12" s="2" t="n"/>
      <c r="G12" s="2" t="n"/>
    </row>
    <row r="13">
      <c r="A13" s="2" t="inlineStr">
        <is>
          <t>A05</t>
        </is>
      </c>
      <c r="B13" s="2" t="inlineStr">
        <is>
          <t>Tax Payable</t>
        </is>
      </c>
      <c r="C13" s="7" t="n">
        <v>0</v>
      </c>
      <c r="D13" s="7" t="n">
        <v>16750</v>
      </c>
      <c r="E13" s="2" t="inlineStr">
        <is>
          <t>Recognise tax</t>
        </is>
      </c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inlineStr">
        <is>
          <t>TOTAL</t>
        </is>
      </c>
      <c r="B15" s="2" t="n"/>
      <c r="C15" s="7">
        <f>SUM(C4:C13)</f>
        <v/>
      </c>
      <c r="D15" s="7">
        <f>SUM(D4:D13)</f>
        <v/>
      </c>
      <c r="E15" s="2" t="n"/>
      <c r="F15" s="2" t="n"/>
      <c r="G15" s="2" t="n"/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Adjusted Trial Balance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Pre-adjustment balances plus IFRS adjustments</t>
        </is>
      </c>
      <c r="B2" s="2" t="n"/>
      <c r="C2" s="2" t="n"/>
      <c r="D2" s="2" t="n"/>
      <c r="E2" s="2" t="n"/>
      <c r="F2" s="2" t="n"/>
      <c r="G2" s="2" t="n"/>
    </row>
    <row r="3">
      <c r="A3" s="6" t="inlineStr">
        <is>
          <t>Account</t>
        </is>
      </c>
      <c r="B3" s="6" t="inlineStr">
        <is>
          <t>Pre-Adj Debit</t>
        </is>
      </c>
      <c r="C3" s="6" t="inlineStr">
        <is>
          <t>Pre-Adj Credit</t>
        </is>
      </c>
      <c r="D3" s="6" t="inlineStr">
        <is>
          <t>Adj Debit</t>
        </is>
      </c>
      <c r="E3" s="6" t="inlineStr">
        <is>
          <t>Adj Credit</t>
        </is>
      </c>
      <c r="F3" s="6" t="inlineStr">
        <is>
          <t>Adjusted Debit</t>
        </is>
      </c>
      <c r="G3" s="6" t="inlineStr">
        <is>
          <t>Adjusted Credit</t>
        </is>
      </c>
    </row>
    <row r="4">
      <c r="A4" s="2" t="inlineStr">
        <is>
          <t>Revenue</t>
        </is>
      </c>
      <c r="B4" s="7" t="n">
        <v>0</v>
      </c>
      <c r="C4" s="7" t="n">
        <v>420000</v>
      </c>
      <c r="D4" s="7" t="n">
        <v>20000</v>
      </c>
      <c r="E4" s="7" t="n">
        <v>0</v>
      </c>
      <c r="F4" s="7">
        <f>B4+D4</f>
        <v/>
      </c>
      <c r="G4" s="7">
        <f>C4+E4</f>
        <v/>
      </c>
    </row>
    <row r="5">
      <c r="A5" s="2" t="inlineStr">
        <is>
          <t>Cost of Sales</t>
        </is>
      </c>
      <c r="B5" s="7" t="n">
        <v>210000</v>
      </c>
      <c r="C5" s="7" t="n">
        <v>0</v>
      </c>
      <c r="D5" s="7" t="n">
        <v>6000</v>
      </c>
      <c r="E5" s="7" t="n">
        <v>0</v>
      </c>
      <c r="F5" s="7">
        <f>B5+D5</f>
        <v/>
      </c>
      <c r="G5" s="7">
        <f>C5+E5</f>
        <v/>
      </c>
    </row>
    <row r="6">
      <c r="A6" s="2" t="inlineStr">
        <is>
          <t>Operating Expenses</t>
        </is>
      </c>
      <c r="B6" s="7" t="n">
        <v>90000</v>
      </c>
      <c r="C6" s="7" t="n">
        <v>0</v>
      </c>
      <c r="D6" s="7" t="n">
        <v>12000</v>
      </c>
      <c r="E6" s="7" t="n">
        <v>0</v>
      </c>
      <c r="F6" s="7">
        <f>B6+D6</f>
        <v/>
      </c>
      <c r="G6" s="7">
        <f>C6+E6</f>
        <v/>
      </c>
    </row>
    <row r="7">
      <c r="A7" s="2" t="inlineStr">
        <is>
          <t>Finance Costs</t>
        </is>
      </c>
      <c r="B7" s="7" t="n">
        <v>10000</v>
      </c>
      <c r="C7" s="7" t="n">
        <v>0</v>
      </c>
      <c r="D7" s="7" t="n">
        <v>0</v>
      </c>
      <c r="E7" s="7" t="n">
        <v>0</v>
      </c>
      <c r="F7" s="7">
        <f>B7+D7</f>
        <v/>
      </c>
      <c r="G7" s="7">
        <f>C7+E7</f>
        <v/>
      </c>
    </row>
    <row r="8">
      <c r="A8" s="2" t="inlineStr">
        <is>
          <t>Legal Expense</t>
        </is>
      </c>
      <c r="B8" s="7" t="n">
        <v>0</v>
      </c>
      <c r="C8" s="7" t="n">
        <v>0</v>
      </c>
      <c r="D8" s="7" t="n">
        <v>15000</v>
      </c>
      <c r="E8" s="7" t="n">
        <v>0</v>
      </c>
      <c r="F8" s="7">
        <f>B8+D8</f>
        <v/>
      </c>
      <c r="G8" s="7">
        <f>C8+E8</f>
        <v/>
      </c>
    </row>
    <row r="9">
      <c r="A9" s="2" t="inlineStr">
        <is>
          <t>Income Tax Expense</t>
        </is>
      </c>
      <c r="B9" s="7" t="n">
        <v>0</v>
      </c>
      <c r="C9" s="7" t="n">
        <v>0</v>
      </c>
      <c r="D9" s="7" t="n">
        <v>16750</v>
      </c>
      <c r="E9" s="7" t="n">
        <v>0</v>
      </c>
      <c r="F9" s="7">
        <f>B9+D9</f>
        <v/>
      </c>
      <c r="G9" s="7">
        <f>C9+E9</f>
        <v/>
      </c>
    </row>
    <row r="10">
      <c r="A10" s="2" t="inlineStr">
        <is>
          <t>Cash and Bank</t>
        </is>
      </c>
      <c r="B10" s="7" t="n">
        <v>75000</v>
      </c>
      <c r="C10" s="7" t="n">
        <v>0</v>
      </c>
      <c r="D10" s="7" t="n">
        <v>0</v>
      </c>
      <c r="E10" s="7" t="n">
        <v>0</v>
      </c>
      <c r="F10" s="7">
        <f>B10+D10</f>
        <v/>
      </c>
      <c r="G10" s="7">
        <f>C10+E10</f>
        <v/>
      </c>
    </row>
    <row r="11">
      <c r="A11" s="2" t="inlineStr">
        <is>
          <t>Trade Receivables</t>
        </is>
      </c>
      <c r="B11" s="7" t="n">
        <v>85000</v>
      </c>
      <c r="C11" s="7" t="n">
        <v>0</v>
      </c>
      <c r="D11" s="7" t="n">
        <v>0</v>
      </c>
      <c r="E11" s="7" t="n">
        <v>0</v>
      </c>
      <c r="F11" s="7">
        <f>B11+D11</f>
        <v/>
      </c>
      <c r="G11" s="7">
        <f>C11+E11</f>
        <v/>
      </c>
    </row>
    <row r="12">
      <c r="A12" s="2" t="inlineStr">
        <is>
          <t>Inventory</t>
        </is>
      </c>
      <c r="B12" s="7" t="n">
        <v>70000</v>
      </c>
      <c r="C12" s="7" t="n">
        <v>0</v>
      </c>
      <c r="D12" s="7" t="n">
        <v>0</v>
      </c>
      <c r="E12" s="7" t="n">
        <v>6000</v>
      </c>
      <c r="F12" s="7">
        <f>B12+D12</f>
        <v/>
      </c>
      <c r="G12" s="7">
        <f>C12+E12</f>
        <v/>
      </c>
    </row>
    <row r="13">
      <c r="A13" s="2" t="inlineStr">
        <is>
          <t>Property, Plant &amp; Equipment</t>
        </is>
      </c>
      <c r="B13" s="7" t="n">
        <v>180000</v>
      </c>
      <c r="C13" s="7" t="n">
        <v>0</v>
      </c>
      <c r="D13" s="7" t="n">
        <v>0</v>
      </c>
      <c r="E13" s="7" t="n">
        <v>0</v>
      </c>
      <c r="F13" s="7">
        <f>B13+D13</f>
        <v/>
      </c>
      <c r="G13" s="7">
        <f>C13+E13</f>
        <v/>
      </c>
    </row>
    <row r="14">
      <c r="A14" s="2" t="inlineStr">
        <is>
          <t>Accumulated Depreciation</t>
        </is>
      </c>
      <c r="B14" s="7" t="n">
        <v>0</v>
      </c>
      <c r="C14" s="7" t="n">
        <v>40000</v>
      </c>
      <c r="D14" s="7" t="n">
        <v>0</v>
      </c>
      <c r="E14" s="7" t="n">
        <v>12000</v>
      </c>
      <c r="F14" s="7">
        <f>B14+D14</f>
        <v/>
      </c>
      <c r="G14" s="7">
        <f>C14+E14</f>
        <v/>
      </c>
    </row>
    <row r="15">
      <c r="A15" s="2" t="inlineStr">
        <is>
          <t>Trade Payables</t>
        </is>
      </c>
      <c r="B15" s="7" t="n">
        <v>0</v>
      </c>
      <c r="C15" s="7" t="n">
        <v>65000</v>
      </c>
      <c r="D15" s="7" t="n">
        <v>0</v>
      </c>
      <c r="E15" s="7" t="n">
        <v>0</v>
      </c>
      <c r="F15" s="7">
        <f>B15+D15</f>
        <v/>
      </c>
      <c r="G15" s="7">
        <f>C15+E15</f>
        <v/>
      </c>
    </row>
    <row r="16">
      <c r="A16" s="2" t="inlineStr">
        <is>
          <t>Bank Loan</t>
        </is>
      </c>
      <c r="B16" s="7" t="n">
        <v>0</v>
      </c>
      <c r="C16" s="7" t="n">
        <v>100000</v>
      </c>
      <c r="D16" s="7" t="n">
        <v>0</v>
      </c>
      <c r="E16" s="7" t="n">
        <v>0</v>
      </c>
      <c r="F16" s="7">
        <f>B16+D16</f>
        <v/>
      </c>
      <c r="G16" s="7">
        <f>C16+E16</f>
        <v/>
      </c>
    </row>
    <row r="17">
      <c r="A17" s="2" t="inlineStr">
        <is>
          <t>Contract Liability</t>
        </is>
      </c>
      <c r="B17" s="7" t="n">
        <v>0</v>
      </c>
      <c r="C17" s="7" t="n">
        <v>0</v>
      </c>
      <c r="D17" s="7" t="n">
        <v>0</v>
      </c>
      <c r="E17" s="7" t="n">
        <v>20000</v>
      </c>
      <c r="F17" s="7">
        <f>B17+D17</f>
        <v/>
      </c>
      <c r="G17" s="7">
        <f>C17+E17</f>
        <v/>
      </c>
    </row>
    <row r="18">
      <c r="A18" s="2" t="inlineStr">
        <is>
          <t>Legal Provision</t>
        </is>
      </c>
      <c r="B18" s="7" t="n">
        <v>0</v>
      </c>
      <c r="C18" s="7" t="n">
        <v>0</v>
      </c>
      <c r="D18" s="7" t="n">
        <v>0</v>
      </c>
      <c r="E18" s="7" t="n">
        <v>15000</v>
      </c>
      <c r="F18" s="7">
        <f>B18+D18</f>
        <v/>
      </c>
      <c r="G18" s="7">
        <f>C18+E18</f>
        <v/>
      </c>
    </row>
    <row r="19">
      <c r="A19" s="2" t="inlineStr">
        <is>
          <t>Tax Payable</t>
        </is>
      </c>
      <c r="B19" s="7" t="n">
        <v>0</v>
      </c>
      <c r="C19" s="7" t="n">
        <v>5000</v>
      </c>
      <c r="D19" s="7" t="n">
        <v>0</v>
      </c>
      <c r="E19" s="7" t="n">
        <v>16750</v>
      </c>
      <c r="F19" s="7">
        <f>B19+D19</f>
        <v/>
      </c>
      <c r="G19" s="7">
        <f>C19+E19</f>
        <v/>
      </c>
    </row>
    <row r="20">
      <c r="A20" s="2" t="inlineStr">
        <is>
          <t>Share Capital</t>
        </is>
      </c>
      <c r="B20" s="7" t="n">
        <v>0</v>
      </c>
      <c r="C20" s="7" t="n">
        <v>100000</v>
      </c>
      <c r="D20" s="7" t="n">
        <v>0</v>
      </c>
      <c r="E20" s="7" t="n">
        <v>0</v>
      </c>
      <c r="F20" s="7">
        <f>B20+D20</f>
        <v/>
      </c>
      <c r="G20" s="7">
        <f>C20+E20</f>
        <v/>
      </c>
    </row>
    <row r="21">
      <c r="A21" s="2" t="inlineStr">
        <is>
          <t>Retained Earnings — Opening</t>
        </is>
      </c>
      <c r="B21" s="7" t="n">
        <v>0</v>
      </c>
      <c r="C21" s="7" t="n">
        <v>90000</v>
      </c>
      <c r="D21" s="7" t="n">
        <v>0</v>
      </c>
      <c r="E21" s="7" t="n">
        <v>0</v>
      </c>
      <c r="F21" s="7">
        <f>B21+D21</f>
        <v/>
      </c>
      <c r="G21" s="7">
        <f>C21+E21</f>
        <v/>
      </c>
    </row>
    <row r="22">
      <c r="A22" s="2" t="inlineStr">
        <is>
          <t>TOTAL</t>
        </is>
      </c>
      <c r="B22" s="7">
        <f>SUM(B4:B21)</f>
        <v/>
      </c>
      <c r="C22" s="7">
        <f>SUM(C4:C21)</f>
        <v/>
      </c>
      <c r="D22" s="7">
        <f>SUM(D4:D21)</f>
        <v/>
      </c>
      <c r="E22" s="7">
        <f>SUM(E4:E21)</f>
        <v/>
      </c>
      <c r="F22" s="7">
        <f>SUM(F4:F21)</f>
        <v/>
      </c>
      <c r="G22" s="7">
        <f>SUM(G4:G21)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Statement of Profit or Loss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Year ended 31 December 2026</t>
        </is>
      </c>
      <c r="B2" s="2" t="n"/>
      <c r="C2" s="2" t="n"/>
      <c r="D2" s="2" t="n"/>
      <c r="E2" s="2" t="n"/>
      <c r="F2" s="2" t="n"/>
      <c r="G2" s="2" t="n"/>
    </row>
    <row r="3">
      <c r="A3" s="6" t="inlineStr">
        <is>
          <t>Line Item</t>
        </is>
      </c>
      <c r="B3" s="6" t="inlineStr">
        <is>
          <t>GBP</t>
        </is>
      </c>
      <c r="C3" s="2" t="n"/>
      <c r="D3" s="2" t="n"/>
      <c r="E3" s="2" t="n"/>
      <c r="F3" s="2" t="n"/>
      <c r="G3" s="2" t="n"/>
    </row>
    <row r="4">
      <c r="A4" s="2" t="inlineStr">
        <is>
          <t>Revenue</t>
        </is>
      </c>
      <c r="B4" s="7" t="n">
        <v>400000</v>
      </c>
      <c r="C4" s="2" t="n"/>
      <c r="D4" s="2" t="n"/>
      <c r="E4" s="2" t="n"/>
      <c r="F4" s="2" t="n"/>
      <c r="G4" s="2" t="n"/>
    </row>
    <row r="5">
      <c r="A5" s="2" t="inlineStr">
        <is>
          <t>Cost of Sales</t>
        </is>
      </c>
      <c r="B5" s="7" t="n">
        <v>-216000</v>
      </c>
      <c r="C5" s="2" t="n"/>
      <c r="D5" s="2" t="n"/>
      <c r="E5" s="2" t="n"/>
      <c r="F5" s="2" t="n"/>
      <c r="G5" s="2" t="n"/>
    </row>
    <row r="6">
      <c r="A6" s="8" t="inlineStr">
        <is>
          <t>Gross Profit</t>
        </is>
      </c>
      <c r="B6" s="9" t="n">
        <v>184000</v>
      </c>
      <c r="C6" s="2" t="n"/>
      <c r="D6" s="2" t="n"/>
      <c r="E6" s="2" t="n"/>
      <c r="F6" s="2" t="n"/>
      <c r="G6" s="2" t="n"/>
    </row>
    <row r="7">
      <c r="A7" s="2" t="inlineStr">
        <is>
          <t>Operating Expenses</t>
        </is>
      </c>
      <c r="B7" s="7" t="n">
        <v>-102000</v>
      </c>
      <c r="C7" s="2" t="n"/>
      <c r="D7" s="2" t="n"/>
      <c r="E7" s="2" t="n"/>
      <c r="F7" s="2" t="n"/>
      <c r="G7" s="2" t="n"/>
    </row>
    <row r="8">
      <c r="A8" s="2" t="inlineStr">
        <is>
          <t>Legal Expense</t>
        </is>
      </c>
      <c r="B8" s="7" t="n">
        <v>-15000</v>
      </c>
      <c r="C8" s="2" t="n"/>
      <c r="D8" s="2" t="n"/>
      <c r="E8" s="2" t="n"/>
      <c r="F8" s="2" t="n"/>
      <c r="G8" s="2" t="n"/>
    </row>
    <row r="9">
      <c r="A9" s="8" t="inlineStr">
        <is>
          <t>Operating Profit</t>
        </is>
      </c>
      <c r="B9" s="9" t="n">
        <v>67000</v>
      </c>
      <c r="C9" s="2" t="n"/>
      <c r="D9" s="2" t="n"/>
      <c r="E9" s="2" t="n"/>
      <c r="F9" s="2" t="n"/>
      <c r="G9" s="2" t="n"/>
    </row>
    <row r="10">
      <c r="A10" s="2" t="inlineStr">
        <is>
          <t>Finance Costs</t>
        </is>
      </c>
      <c r="B10" s="7" t="n">
        <v>-10000</v>
      </c>
      <c r="C10" s="2" t="n"/>
      <c r="D10" s="2" t="n"/>
      <c r="E10" s="2" t="n"/>
      <c r="F10" s="2" t="n"/>
      <c r="G10" s="2" t="n"/>
    </row>
    <row r="11">
      <c r="A11" s="8" t="inlineStr">
        <is>
          <t>Profit Before Tax</t>
        </is>
      </c>
      <c r="B11" s="9" t="n">
        <v>57000</v>
      </c>
      <c r="C11" s="2" t="n"/>
      <c r="D11" s="2" t="n"/>
      <c r="E11" s="2" t="n"/>
      <c r="F11" s="2" t="n"/>
      <c r="G11" s="2" t="n"/>
    </row>
    <row r="12">
      <c r="A12" s="2" t="inlineStr">
        <is>
          <t>Income Tax Expense</t>
        </is>
      </c>
      <c r="B12" s="7" t="n">
        <v>-16750</v>
      </c>
      <c r="C12" s="2" t="n"/>
      <c r="D12" s="2" t="n"/>
      <c r="E12" s="2" t="n"/>
      <c r="F12" s="2" t="n"/>
      <c r="G12" s="2" t="n"/>
    </row>
    <row r="13">
      <c r="A13" s="8" t="inlineStr">
        <is>
          <t>Profit for the Year</t>
        </is>
      </c>
      <c r="B13" s="9" t="n">
        <v>40250</v>
      </c>
      <c r="C13" s="2" t="n"/>
      <c r="D13" s="2" t="n"/>
      <c r="E13" s="2" t="n"/>
      <c r="F13" s="2" t="n"/>
      <c r="G13" s="2" t="n"/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</cols>
  <sheetData>
    <row r="1">
      <c r="A1" s="1" t="inlineStr">
        <is>
          <t>Statement of Financial Position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As at 31 December 2026</t>
        </is>
      </c>
      <c r="B2" s="2" t="n"/>
      <c r="C2" s="2" t="n"/>
      <c r="D2" s="2" t="n"/>
      <c r="E2" s="2" t="n"/>
      <c r="F2" s="2" t="n"/>
      <c r="G2" s="2" t="n"/>
    </row>
    <row r="3">
      <c r="A3" s="6" t="inlineStr">
        <is>
          <t>Line Item</t>
        </is>
      </c>
      <c r="B3" s="6" t="inlineStr">
        <is>
          <t>GBP</t>
        </is>
      </c>
      <c r="C3" s="2" t="n"/>
      <c r="D3" s="2" t="n"/>
      <c r="E3" s="2" t="n"/>
      <c r="F3" s="2" t="n"/>
      <c r="G3" s="2" t="n"/>
    </row>
    <row r="4">
      <c r="A4" s="2" t="inlineStr">
        <is>
          <t>Cash and Bank</t>
        </is>
      </c>
      <c r="B4" s="7" t="n">
        <v>75000</v>
      </c>
      <c r="C4" s="2" t="n"/>
      <c r="D4" s="2" t="n"/>
      <c r="E4" s="2" t="n"/>
      <c r="F4" s="2" t="n"/>
      <c r="G4" s="2" t="n"/>
    </row>
    <row r="5">
      <c r="A5" s="2" t="inlineStr">
        <is>
          <t>Trade Receivables</t>
        </is>
      </c>
      <c r="B5" s="7" t="n">
        <v>85000</v>
      </c>
      <c r="C5" s="2" t="n"/>
      <c r="D5" s="2" t="n"/>
      <c r="E5" s="2" t="n"/>
      <c r="F5" s="2" t="n"/>
      <c r="G5" s="2" t="n"/>
    </row>
    <row r="6">
      <c r="A6" s="2" t="inlineStr">
        <is>
          <t>Inventory</t>
        </is>
      </c>
      <c r="B6" s="7" t="n">
        <v>64000</v>
      </c>
      <c r="C6" s="2" t="n"/>
      <c r="D6" s="2" t="n"/>
      <c r="E6" s="2" t="n"/>
      <c r="F6" s="2" t="n"/>
      <c r="G6" s="2" t="n"/>
    </row>
    <row r="7">
      <c r="A7" s="2" t="inlineStr">
        <is>
          <t>PPE, net</t>
        </is>
      </c>
      <c r="B7" s="7" t="n">
        <v>128000</v>
      </c>
      <c r="C7" s="2" t="n"/>
      <c r="D7" s="2" t="n"/>
      <c r="E7" s="2" t="n"/>
      <c r="F7" s="2" t="n"/>
      <c r="G7" s="2" t="n"/>
    </row>
    <row r="8">
      <c r="A8" s="8" t="inlineStr">
        <is>
          <t>Total Assets</t>
        </is>
      </c>
      <c r="B8" s="9" t="n">
        <v>352000</v>
      </c>
      <c r="C8" s="2" t="n"/>
      <c r="D8" s="2" t="n"/>
      <c r="E8" s="2" t="n"/>
      <c r="F8" s="2" t="n"/>
      <c r="G8" s="2" t="n"/>
    </row>
    <row r="9">
      <c r="A9" s="2" t="inlineStr">
        <is>
          <t>Trade Payables</t>
        </is>
      </c>
      <c r="B9" s="7" t="n">
        <v>65000</v>
      </c>
      <c r="C9" s="2" t="n"/>
      <c r="D9" s="2" t="n"/>
      <c r="E9" s="2" t="n"/>
      <c r="F9" s="2" t="n"/>
      <c r="G9" s="2" t="n"/>
    </row>
    <row r="10">
      <c r="A10" s="2" t="inlineStr">
        <is>
          <t>Bank Loan</t>
        </is>
      </c>
      <c r="B10" s="7" t="n">
        <v>100000</v>
      </c>
      <c r="C10" s="2" t="n"/>
      <c r="D10" s="2" t="n"/>
      <c r="E10" s="2" t="n"/>
      <c r="F10" s="2" t="n"/>
      <c r="G10" s="2" t="n"/>
    </row>
    <row r="11">
      <c r="A11" s="2" t="inlineStr">
        <is>
          <t>Contract Liability</t>
        </is>
      </c>
      <c r="B11" s="7" t="n">
        <v>20000</v>
      </c>
      <c r="C11" s="2" t="n"/>
      <c r="D11" s="2" t="n"/>
      <c r="E11" s="2" t="n"/>
      <c r="F11" s="2" t="n"/>
      <c r="G11" s="2" t="n"/>
    </row>
    <row r="12">
      <c r="A12" s="2" t="inlineStr">
        <is>
          <t>Legal Provision</t>
        </is>
      </c>
      <c r="B12" s="7" t="n">
        <v>15000</v>
      </c>
      <c r="C12" s="2" t="n"/>
      <c r="D12" s="2" t="n"/>
      <c r="E12" s="2" t="n"/>
      <c r="F12" s="2" t="n"/>
      <c r="G12" s="2" t="n"/>
    </row>
    <row r="13">
      <c r="A13" s="2" t="inlineStr">
        <is>
          <t>Tax Payable</t>
        </is>
      </c>
      <c r="B13" s="7" t="n">
        <v>21750</v>
      </c>
      <c r="C13" s="2" t="n"/>
      <c r="D13" s="2" t="n"/>
      <c r="E13" s="2" t="n"/>
      <c r="F13" s="2" t="n"/>
      <c r="G13" s="2" t="n"/>
    </row>
    <row r="14">
      <c r="A14" s="8" t="inlineStr">
        <is>
          <t>Total Liabilities</t>
        </is>
      </c>
      <c r="B14" s="9" t="n">
        <v>221750</v>
      </c>
      <c r="C14" s="2" t="n"/>
      <c r="D14" s="2" t="n"/>
      <c r="E14" s="2" t="n"/>
      <c r="F14" s="2" t="n"/>
      <c r="G14" s="2" t="n"/>
    </row>
    <row r="15">
      <c r="A15" s="2" t="inlineStr">
        <is>
          <t>Share Capital</t>
        </is>
      </c>
      <c r="B15" s="7" t="n">
        <v>100000</v>
      </c>
      <c r="C15" s="2" t="n"/>
      <c r="D15" s="2" t="n"/>
      <c r="E15" s="2" t="n"/>
      <c r="F15" s="2" t="n"/>
      <c r="G15" s="2" t="n"/>
    </row>
    <row r="16">
      <c r="A16" s="2" t="inlineStr">
        <is>
          <t>Retained Earnings — Closing</t>
        </is>
      </c>
      <c r="B16" s="7" t="n">
        <v>30250</v>
      </c>
      <c r="C16" s="2" t="n"/>
      <c r="D16" s="2" t="n"/>
      <c r="E16" s="2" t="n"/>
      <c r="F16" s="2" t="n"/>
      <c r="G16" s="2" t="n"/>
    </row>
    <row r="17">
      <c r="A17" s="8" t="inlineStr">
        <is>
          <t>Total Equity</t>
        </is>
      </c>
      <c r="B17" s="9" t="n">
        <v>130250</v>
      </c>
      <c r="C17" s="2" t="n"/>
      <c r="D17" s="2" t="n"/>
      <c r="E17" s="2" t="n"/>
      <c r="F17" s="2" t="n"/>
      <c r="G17" s="2" t="n"/>
    </row>
    <row r="18">
      <c r="A18" s="8" t="inlineStr">
        <is>
          <t>Liabilities + Equity</t>
        </is>
      </c>
      <c r="B18" s="9" t="n">
        <v>352000</v>
      </c>
      <c r="C18" s="2" t="n"/>
      <c r="D18" s="2" t="n"/>
      <c r="E18" s="2" t="n"/>
      <c r="F18" s="2" t="n"/>
      <c r="G18" s="2" t="n"/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</cols>
  <sheetData>
    <row r="1">
      <c r="A1" s="1" t="inlineStr">
        <is>
          <t>Statement of Cash Flows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Simplified indirect-method presentation</t>
        </is>
      </c>
      <c r="B2" s="2" t="n"/>
      <c r="C2" s="2" t="n"/>
      <c r="D2" s="2" t="n"/>
      <c r="E2" s="2" t="n"/>
      <c r="F2" s="2" t="n"/>
      <c r="G2" s="2" t="n"/>
    </row>
    <row r="3">
      <c r="A3" s="6" t="inlineStr">
        <is>
          <t>Line Item</t>
        </is>
      </c>
      <c r="B3" s="6" t="inlineStr">
        <is>
          <t>GBP</t>
        </is>
      </c>
      <c r="C3" s="2" t="n"/>
      <c r="D3" s="2" t="n"/>
      <c r="E3" s="2" t="n"/>
      <c r="F3" s="2" t="n"/>
      <c r="G3" s="2" t="n"/>
    </row>
    <row r="4">
      <c r="A4" s="2" t="inlineStr">
        <is>
          <t>Profit for the year</t>
        </is>
      </c>
      <c r="B4" s="7" t="n">
        <v>40250</v>
      </c>
      <c r="C4" s="2" t="n"/>
      <c r="D4" s="2" t="n"/>
      <c r="E4" s="2" t="n"/>
      <c r="F4" s="2" t="n"/>
      <c r="G4" s="2" t="n"/>
    </row>
    <row r="5">
      <c r="A5" s="2" t="inlineStr">
        <is>
          <t>Depreciation</t>
        </is>
      </c>
      <c r="B5" s="7" t="n">
        <v>12000</v>
      </c>
      <c r="C5" s="2" t="n"/>
      <c r="D5" s="2" t="n"/>
      <c r="E5" s="2" t="n"/>
      <c r="F5" s="2" t="n"/>
      <c r="G5" s="2" t="n"/>
    </row>
    <row r="6">
      <c r="A6" s="2" t="inlineStr">
        <is>
          <t>Inventory write-down</t>
        </is>
      </c>
      <c r="B6" s="7" t="n">
        <v>6000</v>
      </c>
      <c r="C6" s="2" t="n"/>
      <c r="D6" s="2" t="n"/>
      <c r="E6" s="2" t="n"/>
      <c r="F6" s="2" t="n"/>
      <c r="G6" s="2" t="n"/>
    </row>
    <row r="7">
      <c r="A7" s="2" t="inlineStr">
        <is>
          <t>Legal provision</t>
        </is>
      </c>
      <c r="B7" s="7" t="n">
        <v>15000</v>
      </c>
      <c r="C7" s="2" t="n"/>
      <c r="D7" s="2" t="n"/>
      <c r="E7" s="2" t="n"/>
      <c r="F7" s="2" t="n"/>
      <c r="G7" s="2" t="n"/>
    </row>
    <row r="8">
      <c r="A8" s="2" t="inlineStr">
        <is>
          <t>Increase in trade receivables</t>
        </is>
      </c>
      <c r="B8" s="7" t="n">
        <v>-85000</v>
      </c>
      <c r="C8" s="2" t="n"/>
      <c r="D8" s="2" t="n"/>
      <c r="E8" s="2" t="n"/>
      <c r="F8" s="2" t="n"/>
      <c r="G8" s="2" t="n"/>
    </row>
    <row r="9">
      <c r="A9" s="2" t="inlineStr">
        <is>
          <t>Increase in trade payables</t>
        </is>
      </c>
      <c r="B9" s="7" t="n">
        <v>65000</v>
      </c>
      <c r="C9" s="2" t="n"/>
      <c r="D9" s="2" t="n"/>
      <c r="E9" s="2" t="n"/>
      <c r="F9" s="2" t="n"/>
      <c r="G9" s="2" t="n"/>
    </row>
    <row r="10">
      <c r="A10" s="2" t="inlineStr">
        <is>
          <t>Increase in contract liability</t>
        </is>
      </c>
      <c r="B10" s="7" t="n">
        <v>20000</v>
      </c>
      <c r="C10" s="2" t="n"/>
      <c r="D10" s="2" t="n"/>
      <c r="E10" s="2" t="n"/>
      <c r="F10" s="2" t="n"/>
      <c r="G10" s="2" t="n"/>
    </row>
    <row r="11">
      <c r="A11" s="2" t="inlineStr">
        <is>
          <t>Increase in tax payable</t>
        </is>
      </c>
      <c r="B11" s="7" t="n">
        <v>16750</v>
      </c>
      <c r="C11" s="2" t="n"/>
      <c r="D11" s="2" t="n"/>
      <c r="E11" s="2" t="n"/>
      <c r="F11" s="2" t="n"/>
      <c r="G11" s="2" t="n"/>
    </row>
    <row r="12">
      <c r="A12" s="8" t="inlineStr">
        <is>
          <t>Net Cash from Operating Activities</t>
        </is>
      </c>
      <c r="B12" s="9" t="n">
        <v>119000</v>
      </c>
      <c r="C12" s="2" t="n"/>
      <c r="D12" s="2" t="n"/>
      <c r="E12" s="2" t="n"/>
      <c r="F12" s="2" t="n"/>
      <c r="G12" s="2" t="n"/>
    </row>
    <row r="13">
      <c r="A13" s="2" t="inlineStr">
        <is>
          <t>Purchase of PPE</t>
        </is>
      </c>
      <c r="B13" s="7" t="n">
        <v>-60000</v>
      </c>
      <c r="C13" s="2" t="n"/>
      <c r="D13" s="2" t="n"/>
      <c r="E13" s="2" t="n"/>
      <c r="F13" s="2" t="n"/>
      <c r="G13" s="2" t="n"/>
    </row>
    <row r="14">
      <c r="A14" s="8" t="inlineStr">
        <is>
          <t>Net Cash from Investing Activities</t>
        </is>
      </c>
      <c r="B14" s="9" t="n">
        <v>-60000</v>
      </c>
      <c r="C14" s="2" t="n"/>
      <c r="D14" s="2" t="n"/>
      <c r="E14" s="2" t="n"/>
      <c r="F14" s="2" t="n"/>
      <c r="G14" s="2" t="n"/>
    </row>
    <row r="15">
      <c r="A15" s="2" t="inlineStr">
        <is>
          <t>Proceeds from bank loan</t>
        </is>
      </c>
      <c r="B15" s="7" t="n">
        <v>100000</v>
      </c>
      <c r="C15" s="2" t="n"/>
      <c r="D15" s="2" t="n"/>
      <c r="E15" s="2" t="n"/>
      <c r="F15" s="2" t="n"/>
      <c r="G15" s="2" t="n"/>
    </row>
    <row r="16">
      <c r="A16" s="2" t="inlineStr">
        <is>
          <t>Share capital proceeds</t>
        </is>
      </c>
      <c r="B16" s="7" t="n">
        <v>100000</v>
      </c>
      <c r="C16" s="2" t="n"/>
      <c r="D16" s="2" t="n"/>
      <c r="E16" s="2" t="n"/>
      <c r="F16" s="2" t="n"/>
      <c r="G16" s="2" t="n"/>
    </row>
    <row r="17">
      <c r="A17" s="8" t="inlineStr">
        <is>
          <t>Net Cash from Financing Activities</t>
        </is>
      </c>
      <c r="B17" s="9" t="n">
        <v>200000</v>
      </c>
      <c r="C17" s="2" t="n"/>
      <c r="D17" s="2" t="n"/>
      <c r="E17" s="2" t="n"/>
      <c r="F17" s="2" t="n"/>
      <c r="G17" s="2" t="n"/>
    </row>
    <row r="18">
      <c r="A18" s="8" t="inlineStr">
        <is>
          <t>Net Increase in Cash</t>
        </is>
      </c>
      <c r="B18" s="9" t="n">
        <v>259000</v>
      </c>
      <c r="C18" s="2" t="n"/>
      <c r="D18" s="2" t="n"/>
      <c r="E18" s="2" t="n"/>
      <c r="F18" s="2" t="n"/>
      <c r="G18" s="2" t="n"/>
    </row>
    <row r="19">
      <c r="A19" s="2" t="inlineStr">
        <is>
          <t>Opening Cash</t>
        </is>
      </c>
      <c r="B19" s="7" t="n">
        <v>-184000</v>
      </c>
      <c r="C19" s="2" t="n"/>
      <c r="D19" s="2" t="n"/>
      <c r="E19" s="2" t="n"/>
      <c r="F19" s="2" t="n"/>
      <c r="G19" s="2" t="n"/>
    </row>
    <row r="20">
      <c r="A20" s="8" t="inlineStr">
        <is>
          <t>Closing Cash</t>
        </is>
      </c>
      <c r="B20" s="9" t="n">
        <v>75000</v>
      </c>
      <c r="C20" s="2" t="n"/>
      <c r="D20" s="2" t="n"/>
      <c r="E20" s="2" t="n"/>
      <c r="F20" s="2" t="n"/>
      <c r="G20" s="2" t="n"/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20" customWidth="1" min="4" max="4"/>
  </cols>
  <sheetData>
    <row r="1">
      <c r="A1" s="1" t="inlineStr">
        <is>
          <t>Statement of Changes in Equity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Year ended 31 December 2026</t>
        </is>
      </c>
      <c r="B2" s="2" t="n"/>
      <c r="C2" s="2" t="n"/>
      <c r="D2" s="2" t="n"/>
      <c r="E2" s="2" t="n"/>
      <c r="F2" s="2" t="n"/>
      <c r="G2" s="2" t="n"/>
    </row>
    <row r="3">
      <c r="A3" s="6" t="inlineStr">
        <is>
          <t>Line Item</t>
        </is>
      </c>
      <c r="B3" s="6" t="inlineStr">
        <is>
          <t>Share Capital</t>
        </is>
      </c>
      <c r="C3" s="6" t="inlineStr">
        <is>
          <t>Retained Earnings</t>
        </is>
      </c>
      <c r="D3" s="6" t="inlineStr">
        <is>
          <t>Total Equity</t>
        </is>
      </c>
      <c r="E3" s="2" t="n"/>
      <c r="F3" s="2" t="n"/>
      <c r="G3" s="2" t="n"/>
    </row>
    <row r="4">
      <c r="A4" s="2" t="inlineStr">
        <is>
          <t>Opening balance</t>
        </is>
      </c>
      <c r="B4" s="7" t="n">
        <v>100000</v>
      </c>
      <c r="C4" s="7" t="n">
        <v>90000</v>
      </c>
      <c r="D4" s="7" t="n">
        <v>190000</v>
      </c>
      <c r="E4" s="2" t="n"/>
      <c r="F4" s="2" t="n"/>
      <c r="G4" s="2" t="n"/>
    </row>
    <row r="5">
      <c r="A5" s="2" t="inlineStr">
        <is>
          <t>Profit for the year</t>
        </is>
      </c>
      <c r="B5" s="7" t="n">
        <v>0</v>
      </c>
      <c r="C5" s="7" t="n">
        <v>40250</v>
      </c>
      <c r="D5" s="7" t="n">
        <v>40250</v>
      </c>
      <c r="E5" s="2" t="n"/>
      <c r="F5" s="2" t="n"/>
      <c r="G5" s="2" t="n"/>
    </row>
    <row r="6">
      <c r="A6" s="8" t="inlineStr">
        <is>
          <t>Closing balance</t>
        </is>
      </c>
      <c r="B6" s="9" t="n">
        <v>100000</v>
      </c>
      <c r="C6" s="9" t="n">
        <v>130250</v>
      </c>
      <c r="D6" s="9" t="n">
        <v>230250</v>
      </c>
      <c r="E6" s="2" t="n"/>
      <c r="F6" s="2" t="n"/>
      <c r="G6" s="2" t="n"/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5" customWidth="1" min="3" max="3"/>
  </cols>
  <sheetData>
    <row r="1">
      <c r="A1" s="1" t="inlineStr">
        <is>
          <t>Illustrative Notes &amp; Disclosures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6" t="inlineStr">
        <is>
          <t>Note</t>
        </is>
      </c>
      <c r="B3" s="6" t="inlineStr">
        <is>
          <t>Topic</t>
        </is>
      </c>
      <c r="C3" s="6" t="inlineStr">
        <is>
          <t>Disclosure Summary</t>
        </is>
      </c>
      <c r="D3" s="2" t="n"/>
      <c r="E3" s="2" t="n"/>
      <c r="F3" s="2" t="n"/>
      <c r="G3" s="2" t="n"/>
    </row>
    <row r="4">
      <c r="A4" s="2" t="inlineStr">
        <is>
          <t>1</t>
        </is>
      </c>
      <c r="B4" s="2" t="inlineStr">
        <is>
          <t>Accounting policies</t>
        </is>
      </c>
      <c r="C4" s="2" t="inlineStr">
        <is>
          <t>Financial statements use IFRS Accounting Standards and are presented in GBP.</t>
        </is>
      </c>
      <c r="D4" s="2" t="n"/>
      <c r="E4" s="2" t="n"/>
      <c r="F4" s="2" t="n"/>
      <c r="G4" s="2" t="n"/>
    </row>
    <row r="5">
      <c r="A5" s="2" t="inlineStr">
        <is>
          <t>2</t>
        </is>
      </c>
      <c r="B5" s="2" t="inlineStr">
        <is>
          <t>Revenue</t>
        </is>
      </c>
      <c r="C5" s="2" t="inlineStr">
        <is>
          <t>Revenue is recognised when performance obligations are satisfied; £20,000 is deferred.</t>
        </is>
      </c>
      <c r="D5" s="2" t="n"/>
      <c r="E5" s="2" t="n"/>
      <c r="F5" s="2" t="n"/>
      <c r="G5" s="2" t="n"/>
    </row>
    <row r="6">
      <c r="A6" s="2" t="inlineStr">
        <is>
          <t>3</t>
        </is>
      </c>
      <c r="B6" s="2" t="inlineStr">
        <is>
          <t>Inventory</t>
        </is>
      </c>
      <c r="C6" s="2" t="inlineStr">
        <is>
          <t>Inventory is measured at the lower of cost and NRV; £6,000 write-down recognised.</t>
        </is>
      </c>
      <c r="D6" s="2" t="n"/>
      <c r="E6" s="2" t="n"/>
      <c r="F6" s="2" t="n"/>
      <c r="G6" s="2" t="n"/>
    </row>
    <row r="7">
      <c r="A7" s="2" t="inlineStr">
        <is>
          <t>4</t>
        </is>
      </c>
      <c r="B7" s="2" t="inlineStr">
        <is>
          <t>PPE</t>
        </is>
      </c>
      <c r="C7" s="2" t="inlineStr">
        <is>
          <t>PPE is cost less accumulated depreciation; new equipment is depreciated straight-line over five years.</t>
        </is>
      </c>
      <c r="D7" s="2" t="n"/>
      <c r="E7" s="2" t="n"/>
      <c r="F7" s="2" t="n"/>
      <c r="G7" s="2" t="n"/>
    </row>
    <row r="8">
      <c r="A8" s="2" t="inlineStr">
        <is>
          <t>5</t>
        </is>
      </c>
      <c r="B8" s="2" t="inlineStr">
        <is>
          <t>Provision</t>
        </is>
      </c>
      <c r="C8" s="2" t="inlineStr">
        <is>
          <t>£15,000 provision recognised for a probable legal claim; outcome remains uncertain.</t>
        </is>
      </c>
      <c r="D8" s="2" t="n"/>
      <c r="E8" s="2" t="n"/>
      <c r="F8" s="2" t="n"/>
      <c r="G8" s="2" t="n"/>
    </row>
    <row r="9">
      <c r="A9" s="2" t="inlineStr">
        <is>
          <t>6</t>
        </is>
      </c>
      <c r="B9" s="2" t="inlineStr">
        <is>
          <t>Tax</t>
        </is>
      </c>
      <c r="C9" s="2" t="inlineStr">
        <is>
          <t>Current tax uses the simulated 25% rate assumption.</t>
        </is>
      </c>
      <c r="D9" s="2" t="n"/>
      <c r="E9" s="2" t="n"/>
      <c r="F9" s="2" t="n"/>
      <c r="G9" s="2" t="n"/>
    </row>
    <row r="10">
      <c r="A10" s="2" t="inlineStr">
        <is>
          <t>7</t>
        </is>
      </c>
      <c r="B10" s="2" t="inlineStr">
        <is>
          <t>Estimates</t>
        </is>
      </c>
      <c r="C10" s="2" t="inlineStr">
        <is>
          <t>Key estimates include NRV, useful lives, legal provision and tax assumptions.</t>
        </is>
      </c>
      <c r="D10" s="2" t="n"/>
      <c r="E10" s="2" t="n"/>
      <c r="F10" s="2" t="n"/>
      <c r="G10" s="2" t="n"/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8" customWidth="1" min="3" max="3"/>
    <col width="55" customWidth="1" min="4" max="4"/>
  </cols>
  <sheetData>
    <row r="1">
      <c r="A1" s="1" t="inlineStr">
        <is>
          <t>IFRS Reporting Checklist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6" t="inlineStr">
        <is>
          <t>Control</t>
        </is>
      </c>
      <c r="B3" s="6" t="inlineStr">
        <is>
          <t>Standard</t>
        </is>
      </c>
      <c r="C3" s="6" t="inlineStr">
        <is>
          <t>Status</t>
        </is>
      </c>
      <c r="D3" s="6" t="inlineStr">
        <is>
          <t>Evidence</t>
        </is>
      </c>
      <c r="E3" s="2" t="n"/>
      <c r="F3" s="2" t="n"/>
      <c r="G3" s="2" t="n"/>
    </row>
    <row r="4">
      <c r="A4" s="2" t="inlineStr">
        <is>
          <t>Inventory lower of cost and NRV</t>
        </is>
      </c>
      <c r="B4" s="2" t="inlineStr">
        <is>
          <t>IAS 2</t>
        </is>
      </c>
      <c r="C4" s="2" t="inlineStr">
        <is>
          <t>Complete</t>
        </is>
      </c>
      <c r="D4" s="2" t="inlineStr">
        <is>
          <t>NRV schedule</t>
        </is>
      </c>
      <c r="E4" s="2" t="n"/>
      <c r="F4" s="2" t="n"/>
      <c r="G4" s="2" t="n"/>
    </row>
    <row r="5">
      <c r="A5" s="2" t="inlineStr">
        <is>
          <t>PPE additions and depreciation</t>
        </is>
      </c>
      <c r="B5" s="2" t="inlineStr">
        <is>
          <t>IAS 16</t>
        </is>
      </c>
      <c r="C5" s="2" t="inlineStr">
        <is>
          <t>Complete</t>
        </is>
      </c>
      <c r="D5" s="2" t="inlineStr">
        <is>
          <t>Depreciation schedule</t>
        </is>
      </c>
      <c r="E5" s="2" t="n"/>
      <c r="F5" s="2" t="n"/>
      <c r="G5" s="2" t="n"/>
    </row>
    <row r="6">
      <c r="A6" s="2" t="inlineStr">
        <is>
          <t>Revenue recognition / contract liability</t>
        </is>
      </c>
      <c r="B6" s="2" t="inlineStr">
        <is>
          <t>IFRS 15</t>
        </is>
      </c>
      <c r="C6" s="2" t="inlineStr">
        <is>
          <t>Complete</t>
        </is>
      </c>
      <c r="D6" s="2" t="inlineStr">
        <is>
          <t>£20,000 deferred</t>
        </is>
      </c>
      <c r="E6" s="2" t="n"/>
      <c r="F6" s="2" t="n"/>
      <c r="G6" s="2" t="n"/>
    </row>
    <row r="7">
      <c r="A7" s="2" t="inlineStr">
        <is>
          <t>Provisions and contingencies</t>
        </is>
      </c>
      <c r="B7" s="2" t="inlineStr">
        <is>
          <t>IAS 37</t>
        </is>
      </c>
      <c r="C7" s="2" t="inlineStr">
        <is>
          <t>Complete</t>
        </is>
      </c>
      <c r="D7" s="2" t="inlineStr">
        <is>
          <t>£15,000 provision</t>
        </is>
      </c>
      <c r="E7" s="2" t="n"/>
      <c r="F7" s="2" t="n"/>
      <c r="G7" s="2" t="n"/>
    </row>
    <row r="8">
      <c r="A8" s="2" t="inlineStr">
        <is>
          <t>Current tax calculation</t>
        </is>
      </c>
      <c r="B8" s="2" t="inlineStr">
        <is>
          <t>IAS 12</t>
        </is>
      </c>
      <c r="C8" s="2" t="inlineStr">
        <is>
          <t>Complete</t>
        </is>
      </c>
      <c r="D8" s="2" t="inlineStr">
        <is>
          <t>£16,750 simulated tax</t>
        </is>
      </c>
      <c r="E8" s="2" t="n"/>
      <c r="F8" s="2" t="n"/>
      <c r="G8" s="2" t="n"/>
    </row>
    <row r="9">
      <c r="A9" s="2" t="inlineStr">
        <is>
          <t>Adjusting journals reviewed</t>
        </is>
      </c>
      <c r="B9" s="2" t="inlineStr">
        <is>
          <t>All</t>
        </is>
      </c>
      <c r="C9" s="2" t="inlineStr">
        <is>
          <t>Complete</t>
        </is>
      </c>
      <c r="D9" s="2" t="inlineStr">
        <is>
          <t>Adjusting_JEs</t>
        </is>
      </c>
      <c r="E9" s="2" t="n"/>
      <c r="F9" s="2" t="n"/>
      <c r="G9" s="2" t="n"/>
    </row>
    <row r="10">
      <c r="A10" s="2" t="inlineStr">
        <is>
          <t>Adjusted TB agrees</t>
        </is>
      </c>
      <c r="B10" s="2" t="inlineStr">
        <is>
          <t>All</t>
        </is>
      </c>
      <c r="C10" s="2" t="inlineStr">
        <is>
          <t>Complete</t>
        </is>
      </c>
      <c r="D10" s="2" t="inlineStr">
        <is>
          <t>Adjusted_TB</t>
        </is>
      </c>
      <c r="E10" s="2" t="n"/>
      <c r="F10" s="2" t="n"/>
      <c r="G10" s="2" t="n"/>
    </row>
    <row r="11">
      <c r="A11" s="2" t="inlineStr">
        <is>
          <t>Primary statements prepared</t>
        </is>
      </c>
      <c r="B11" s="2" t="inlineStr">
        <is>
          <t>IFRS</t>
        </is>
      </c>
      <c r="C11" s="2" t="inlineStr">
        <is>
          <t>Complete</t>
        </is>
      </c>
      <c r="D11" s="2" t="inlineStr">
        <is>
          <t>Financial statements</t>
        </is>
      </c>
      <c r="E11" s="2" t="n"/>
      <c r="F11" s="2" t="n"/>
      <c r="G11" s="2" t="n"/>
    </row>
    <row r="12">
      <c r="A12" s="2" t="inlineStr">
        <is>
          <t>Disclosures reviewed</t>
        </is>
      </c>
      <c r="B12" s="2" t="inlineStr">
        <is>
          <t>IFRS</t>
        </is>
      </c>
      <c r="C12" s="2" t="inlineStr">
        <is>
          <t>In Review</t>
        </is>
      </c>
      <c r="D12" s="2" t="inlineStr">
        <is>
          <t>Notes_Disclosures</t>
        </is>
      </c>
      <c r="E12" s="2" t="n"/>
      <c r="F12" s="2" t="n"/>
      <c r="G12" s="2" t="n"/>
    </row>
    <row r="13">
      <c r="A13" s="2" t="inlineStr">
        <is>
          <t>Final sign-off</t>
        </is>
      </c>
      <c r="B13" s="2" t="inlineStr">
        <is>
          <t>Governance</t>
        </is>
      </c>
      <c r="C13" s="2" t="inlineStr">
        <is>
          <t>Pending</t>
        </is>
      </c>
      <c r="D13" s="2" t="inlineStr">
        <is>
          <t>Finance review</t>
        </is>
      </c>
      <c r="E13" s="2" t="n"/>
      <c r="F13" s="2" t="n"/>
      <c r="G13" s="2" t="n"/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75" customWidth="1" min="3" max="3"/>
  </cols>
  <sheetData>
    <row r="1">
      <c r="A1" s="1" t="inlineStr">
        <is>
          <t>Management Summary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Key reporting outcomes</t>
        </is>
      </c>
      <c r="B2" s="2" t="n"/>
      <c r="C2" s="2" t="n"/>
      <c r="D2" s="2" t="n"/>
      <c r="E2" s="2" t="n"/>
      <c r="F2" s="2" t="n"/>
      <c r="G2" s="2" t="n"/>
    </row>
    <row r="3">
      <c r="A3" s="6" t="inlineStr">
        <is>
          <t>Metric</t>
        </is>
      </c>
      <c r="B3" s="6" t="inlineStr">
        <is>
          <t>Value</t>
        </is>
      </c>
      <c r="C3" s="6" t="inlineStr">
        <is>
          <t>Comment</t>
        </is>
      </c>
      <c r="D3" s="2" t="n"/>
      <c r="E3" s="2" t="n"/>
      <c r="F3" s="2" t="n"/>
      <c r="G3" s="2" t="n"/>
    </row>
    <row r="4">
      <c r="A4" s="2" t="inlineStr">
        <is>
          <t>Revenue after IFRS 15 adjustment</t>
        </is>
      </c>
      <c r="B4" s="7" t="n">
        <v>400000</v>
      </c>
      <c r="C4" s="2" t="inlineStr">
        <is>
          <t>£20,000 deferred</t>
        </is>
      </c>
      <c r="D4" s="2" t="n"/>
      <c r="E4" s="2" t="n"/>
      <c r="F4" s="2" t="n"/>
      <c r="G4" s="2" t="n"/>
    </row>
    <row r="5">
      <c r="A5" s="2" t="inlineStr">
        <is>
          <t>Gross profit</t>
        </is>
      </c>
      <c r="B5" s="7" t="n">
        <v>184000</v>
      </c>
      <c r="C5" s="2" t="inlineStr">
        <is>
          <t>After inventory write-down</t>
        </is>
      </c>
      <c r="D5" s="2" t="n"/>
      <c r="E5" s="2" t="n"/>
      <c r="F5" s="2" t="n"/>
      <c r="G5" s="2" t="n"/>
    </row>
    <row r="6">
      <c r="A6" s="2" t="inlineStr">
        <is>
          <t>Operating profit</t>
        </is>
      </c>
      <c r="B6" s="7" t="n">
        <v>67000</v>
      </c>
      <c r="C6" s="2" t="inlineStr">
        <is>
          <t>After depreciation and legal provision</t>
        </is>
      </c>
      <c r="D6" s="2" t="n"/>
      <c r="E6" s="2" t="n"/>
      <c r="F6" s="2" t="n"/>
      <c r="G6" s="2" t="n"/>
    </row>
    <row r="7">
      <c r="A7" s="2" t="inlineStr">
        <is>
          <t>Profit before tax</t>
        </is>
      </c>
      <c r="B7" s="7" t="n">
        <v>57000</v>
      </c>
      <c r="C7" s="2" t="inlineStr">
        <is>
          <t>After finance costs</t>
        </is>
      </c>
      <c r="D7" s="2" t="n"/>
      <c r="E7" s="2" t="n"/>
      <c r="F7" s="2" t="n"/>
      <c r="G7" s="2" t="n"/>
    </row>
    <row r="8">
      <c r="A8" s="2" t="inlineStr">
        <is>
          <t>Profit for year</t>
        </is>
      </c>
      <c r="B8" s="7" t="n">
        <v>40250</v>
      </c>
      <c r="C8" s="2" t="inlineStr">
        <is>
          <t>After simulated tax</t>
        </is>
      </c>
      <c r="D8" s="2" t="n"/>
      <c r="E8" s="2" t="n"/>
      <c r="F8" s="2" t="n"/>
      <c r="G8" s="2" t="n"/>
    </row>
    <row r="9">
      <c r="A9" s="2" t="inlineStr">
        <is>
          <t>Inventory carrying value</t>
        </is>
      </c>
      <c r="B9" s="7" t="n">
        <v>64000</v>
      </c>
      <c r="C9" s="2" t="inlineStr">
        <is>
          <t>Lower of cost and NRV</t>
        </is>
      </c>
      <c r="D9" s="2" t="n"/>
      <c r="E9" s="2" t="n"/>
      <c r="F9" s="2" t="n"/>
      <c r="G9" s="2" t="n"/>
    </row>
    <row r="10">
      <c r="A10" s="2" t="inlineStr">
        <is>
          <t>Net PPE</t>
        </is>
      </c>
      <c r="B10" s="7" t="n">
        <v>128000</v>
      </c>
      <c r="C10" s="2" t="inlineStr">
        <is>
          <t>After depreciation</t>
        </is>
      </c>
      <c r="D10" s="2" t="n"/>
      <c r="E10" s="2" t="n"/>
      <c r="F10" s="2" t="n"/>
      <c r="G10" s="2" t="n"/>
    </row>
    <row r="11">
      <c r="A11" s="2" t="inlineStr">
        <is>
          <t>Legal provision</t>
        </is>
      </c>
      <c r="B11" s="7" t="n">
        <v>15000</v>
      </c>
      <c r="C11" s="2" t="inlineStr">
        <is>
          <t>IAS 37</t>
        </is>
      </c>
      <c r="D11" s="2" t="n"/>
      <c r="E11" s="2" t="n"/>
      <c r="F11" s="2" t="n"/>
      <c r="G11" s="2" t="n"/>
    </row>
    <row r="12">
      <c r="A12" s="2" t="inlineStr">
        <is>
          <t>Contract liability</t>
        </is>
      </c>
      <c r="B12" s="7" t="n">
        <v>20000</v>
      </c>
      <c r="C12" s="2" t="inlineStr">
        <is>
          <t>IFRS 15</t>
        </is>
      </c>
      <c r="D12" s="2" t="n"/>
      <c r="E12" s="2" t="n"/>
      <c r="F12" s="2" t="n"/>
      <c r="G12" s="2" t="n"/>
    </row>
    <row r="13">
      <c r="A13" s="2" t="inlineStr">
        <is>
          <t>Tax payable</t>
        </is>
      </c>
      <c r="B13" s="7" t="n">
        <v>21750</v>
      </c>
      <c r="C13" s="2" t="inlineStr">
        <is>
          <t>Opening £5,000 + current tax £16,750</t>
        </is>
      </c>
      <c r="D13" s="2" t="n"/>
      <c r="E13" s="2" t="n"/>
      <c r="F13" s="2" t="n"/>
      <c r="G13" s="2" t="n"/>
    </row>
    <row r="14">
      <c r="A14" s="2" t="inlineStr">
        <is>
          <t>Portfolio value</t>
        </is>
      </c>
      <c r="B14" s="2" t="inlineStr">
        <is>
          <t>Strong</t>
        </is>
      </c>
      <c r="C14" s="2" t="inlineStr">
        <is>
          <t>Demonstrates IFRS judgement, journals, reporting and controls</t>
        </is>
      </c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5" t="inlineStr">
        <is>
          <t>Interview talking points</t>
        </is>
      </c>
      <c r="B17" s="2" t="n"/>
      <c r="C17" s="2" t="n"/>
      <c r="D17" s="2" t="n"/>
      <c r="E17" s="2" t="n"/>
      <c r="F17" s="2" t="n"/>
      <c r="G17" s="2" t="n"/>
    </row>
    <row r="18">
      <c r="A18" s="2" t="inlineStr">
        <is>
          <t>• I can take a trial balance through year-end adjustments into financial statements.</t>
        </is>
      </c>
      <c r="B18" s="2" t="n"/>
      <c r="C18" s="2" t="n"/>
      <c r="D18" s="2" t="n"/>
      <c r="E18" s="2" t="n"/>
      <c r="F18" s="2" t="n"/>
      <c r="G18" s="2" t="n"/>
    </row>
    <row r="19">
      <c r="A19" s="2" t="inlineStr">
        <is>
          <t>• I document the accounting judgement and evidence behind adjustments.</t>
        </is>
      </c>
      <c r="B19" s="2" t="n"/>
      <c r="C19" s="2" t="n"/>
      <c r="D19" s="2" t="n"/>
      <c r="E19" s="2" t="n"/>
      <c r="F19" s="2" t="n"/>
      <c r="G19" s="2" t="n"/>
    </row>
    <row r="20">
      <c r="A20" s="2" t="inlineStr">
        <is>
          <t>• I use structured schedules and checklists to make reporting audit-ready.</t>
        </is>
      </c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• I understand the link between accounting entries, the adjusted TB and published statements.</t>
        </is>
      </c>
      <c r="B21" s="2" t="n"/>
      <c r="C21" s="2" t="n"/>
      <c r="D21" s="2" t="n"/>
      <c r="E21" s="2" t="n"/>
      <c r="F21" s="2" t="n"/>
      <c r="G21" s="2" t="n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2026-10-08T08:45:25Z</dcterms:created>
  <dcterms:modified xmlns:dcterms="http://purl.org/dc/terms/" xmlns:xsi="http://www.w3.org/2001/XMLSchema-instance" xsi:type="dcterms:W3CDTF">2026-10-08T08:45:25Z</dcterms:modified>
</cp:coreProperties>
</file>